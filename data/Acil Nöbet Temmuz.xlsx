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 codeName="BuÇalışmaKitabı"/>
  <mc:AlternateContent xmlns:mc="http://schemas.openxmlformats.org/markup-compatibility/2006">
    <mc:Choice Requires="x15">
      <x15ac:absPath xmlns:x15ac="http://schemas.microsoft.com/office/spreadsheetml/2010/11/ac" url="https://istanbuledutr-my.sharepoint.com/personal/itf_radyolojitekniker_istanbul_edu_tr/Documents/Nöbet Listeleri/Acil Radyoloji/2025/"/>
    </mc:Choice>
  </mc:AlternateContent>
  <xr:revisionPtr revIDLastSave="130" documentId="13_ncr:1_{453EC887-1E4E-473A-AF90-AD83B2994906}" xr6:coauthVersionLast="47" xr6:coauthVersionMax="47" xr10:uidLastSave="{01FA8CE4-5A38-475A-BD7B-4F20AECDFAFA}"/>
  <bookViews>
    <workbookView xWindow="-120" yWindow="-120" windowWidth="29040" windowHeight="17520" tabRatio="564" activeTab="1" xr2:uid="{00000000-000D-0000-FFFF-FFFF00000000}"/>
  </bookViews>
  <sheets>
    <sheet name="Sayfa2" sheetId="2" r:id="rId1"/>
    <sheet name="Sayf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1" l="1"/>
  <c r="R27" i="1"/>
  <c r="N28" i="1"/>
  <c r="O28" i="1"/>
  <c r="P28" i="1"/>
  <c r="Q44" i="1"/>
  <c r="Q42" i="1"/>
  <c r="Q43" i="1"/>
  <c r="Q28" i="1" l="1"/>
  <c r="S28" i="1"/>
  <c r="O5" i="1"/>
  <c r="O27" i="1" l="1"/>
  <c r="O26" i="1"/>
  <c r="O25" i="1"/>
  <c r="O24" i="1"/>
  <c r="O23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Q39" i="1" l="1"/>
  <c r="P22" i="1" l="1"/>
  <c r="O22" i="1"/>
  <c r="N22" i="1"/>
  <c r="N23" i="1"/>
  <c r="S22" i="1" l="1"/>
  <c r="Q22" i="1"/>
  <c r="A1" i="1"/>
  <c r="P27" i="1" l="1"/>
  <c r="P26" i="1"/>
  <c r="P25" i="1"/>
  <c r="P24" i="1"/>
  <c r="P23" i="1"/>
  <c r="S23" i="1" s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O4" i="1"/>
  <c r="P4" i="1"/>
  <c r="N27" i="1"/>
  <c r="N26" i="1"/>
  <c r="N25" i="1"/>
  <c r="N24" i="1"/>
  <c r="S24" i="1" s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Q36" i="1"/>
  <c r="Q37" i="1"/>
  <c r="Q38" i="1"/>
  <c r="Q40" i="1"/>
  <c r="Q41" i="1"/>
  <c r="Q45" i="1"/>
  <c r="Q46" i="1"/>
  <c r="Q47" i="1"/>
  <c r="Q35" i="1"/>
  <c r="A3" i="1"/>
  <c r="S26" i="1" l="1"/>
  <c r="S25" i="1"/>
  <c r="S27" i="1"/>
  <c r="S6" i="1"/>
  <c r="S10" i="1"/>
  <c r="S14" i="1"/>
  <c r="S18" i="1"/>
  <c r="S7" i="1"/>
  <c r="S11" i="1"/>
  <c r="S15" i="1"/>
  <c r="S19" i="1"/>
  <c r="S8" i="1"/>
  <c r="S12" i="1"/>
  <c r="S16" i="1"/>
  <c r="S20" i="1"/>
  <c r="S5" i="1"/>
  <c r="S9" i="1"/>
  <c r="S13" i="1"/>
  <c r="S17" i="1"/>
  <c r="S21" i="1"/>
  <c r="S4" i="1"/>
  <c r="R11" i="1"/>
  <c r="R22" i="1"/>
  <c r="B3" i="1"/>
  <c r="Q21" i="1"/>
  <c r="Q9" i="1"/>
  <c r="Q13" i="1"/>
  <c r="Q5" i="1"/>
  <c r="Q17" i="1"/>
  <c r="Q23" i="1"/>
  <c r="Q27" i="1"/>
  <c r="Q8" i="1"/>
  <c r="Q12" i="1"/>
  <c r="Q16" i="1"/>
  <c r="Q20" i="1"/>
  <c r="Q24" i="1"/>
  <c r="Q25" i="1"/>
  <c r="Q6" i="1"/>
  <c r="Q10" i="1"/>
  <c r="Q14" i="1"/>
  <c r="Q18" i="1"/>
  <c r="Q4" i="1"/>
  <c r="Q26" i="1"/>
  <c r="Q7" i="1"/>
  <c r="Q11" i="1"/>
  <c r="Q15" i="1"/>
  <c r="Q19" i="1"/>
  <c r="D36" i="1"/>
  <c r="A4" i="1"/>
  <c r="T28" i="1" s="1"/>
  <c r="S43" i="1" l="1"/>
  <c r="T43" i="1" s="1"/>
  <c r="S42" i="1"/>
  <c r="T42" i="1" s="1"/>
  <c r="R13" i="1" s="1"/>
  <c r="T13" i="1" s="1"/>
  <c r="S44" i="1"/>
  <c r="T44" i="1" s="1"/>
  <c r="S35" i="1"/>
  <c r="S39" i="1"/>
  <c r="S40" i="1"/>
  <c r="T40" i="1" s="1"/>
  <c r="S45" i="1"/>
  <c r="U45" i="1" s="1"/>
  <c r="S38" i="1"/>
  <c r="T38" i="1" s="1"/>
  <c r="S46" i="1"/>
  <c r="U46" i="1" s="1"/>
  <c r="S41" i="1"/>
  <c r="T41" i="1" s="1"/>
  <c r="T27" i="1" s="1"/>
  <c r="S37" i="1"/>
  <c r="T37" i="1" s="1"/>
  <c r="S47" i="1"/>
  <c r="S36" i="1"/>
  <c r="B4" i="1"/>
  <c r="A5" i="1"/>
  <c r="R12" i="1" l="1"/>
  <c r="T12" i="1" s="1"/>
  <c r="R20" i="1"/>
  <c r="R15" i="1"/>
  <c r="T15" i="1" s="1"/>
  <c r="U47" i="1"/>
  <c r="T47" i="1" s="1"/>
  <c r="R25" i="1"/>
  <c r="T25" i="1" s="1"/>
  <c r="R6" i="1"/>
  <c r="T6" i="1" s="1"/>
  <c r="T45" i="1"/>
  <c r="T46" i="1"/>
  <c r="R19" i="1"/>
  <c r="T19" i="1" s="1"/>
  <c r="T11" i="1"/>
  <c r="R10" i="1"/>
  <c r="T10" i="1" s="1"/>
  <c r="R18" i="1"/>
  <c r="T18" i="1" s="1"/>
  <c r="T35" i="1"/>
  <c r="R8" i="1" s="1"/>
  <c r="T8" i="1" s="1"/>
  <c r="T36" i="1"/>
  <c r="T20" i="1"/>
  <c r="B5" i="1"/>
  <c r="A6" i="1"/>
  <c r="R7" i="1" l="1"/>
  <c r="T7" i="1" s="1"/>
  <c r="R21" i="1"/>
  <c r="T21" i="1" s="1"/>
  <c r="R17" i="1"/>
  <c r="T17" i="1" s="1"/>
  <c r="R14" i="1"/>
  <c r="T14" i="1" s="1"/>
  <c r="R5" i="1"/>
  <c r="T5" i="1" s="1"/>
  <c r="R4" i="1"/>
  <c r="T4" i="1" s="1"/>
  <c r="R23" i="1"/>
  <c r="T23" i="1" s="1"/>
  <c r="B6" i="1"/>
  <c r="A7" i="1"/>
  <c r="B7" i="1" l="1"/>
  <c r="A8" i="1"/>
  <c r="B8" i="1" l="1"/>
  <c r="A9" i="1"/>
  <c r="B9" i="1" l="1"/>
  <c r="A10" i="1"/>
  <c r="B10" i="1" l="1"/>
  <c r="A11" i="1"/>
  <c r="B11" i="1" l="1"/>
  <c r="A12" i="1"/>
  <c r="B12" i="1" l="1"/>
  <c r="A13" i="1"/>
  <c r="T22" i="1" l="1"/>
  <c r="B13" i="1"/>
  <c r="A14" i="1"/>
  <c r="B14" i="1" l="1"/>
  <c r="A15" i="1"/>
  <c r="B15" i="1" l="1"/>
  <c r="A16" i="1"/>
  <c r="B16" i="1" l="1"/>
  <c r="A17" i="1"/>
  <c r="B17" i="1" l="1"/>
  <c r="A18" i="1"/>
  <c r="B18" i="1" l="1"/>
  <c r="A19" i="1"/>
  <c r="B19" i="1" l="1"/>
  <c r="A20" i="1"/>
  <c r="B20" i="1" l="1"/>
  <c r="A21" i="1"/>
  <c r="B21" i="1" l="1"/>
  <c r="A22" i="1"/>
  <c r="B22" i="1" l="1"/>
  <c r="A23" i="1"/>
  <c r="B23" i="1" l="1"/>
  <c r="A24" i="1"/>
  <c r="B24" i="1" l="1"/>
  <c r="A25" i="1"/>
  <c r="B25" i="1" l="1"/>
  <c r="A26" i="1"/>
  <c r="B26" i="1" l="1"/>
  <c r="A27" i="1"/>
  <c r="B27" i="1" l="1"/>
  <c r="A28" i="1"/>
  <c r="B28" i="1" l="1"/>
  <c r="A29" i="1"/>
  <c r="B29" i="1" l="1"/>
  <c r="A30" i="1"/>
  <c r="A31" i="1" s="1"/>
  <c r="A32" i="1" s="1"/>
  <c r="A33" i="1" s="1"/>
  <c r="B33" i="1" s="1"/>
  <c r="B30" i="1" l="1"/>
  <c r="B31" i="1" l="1"/>
  <c r="B32" i="1" l="1"/>
  <c r="D37" i="1" l="1"/>
  <c r="T39" i="1" s="1"/>
  <c r="R26" i="1" l="1"/>
  <c r="T26" i="1" s="1"/>
  <c r="R24" i="1"/>
  <c r="T24" i="1" s="1"/>
  <c r="R16" i="1"/>
  <c r="T16" i="1" s="1"/>
  <c r="R9" i="1"/>
  <c r="T9" i="1" s="1"/>
</calcChain>
</file>

<file path=xl/sharedStrings.xml><?xml version="1.0" encoding="utf-8"?>
<sst xmlns="http://schemas.openxmlformats.org/spreadsheetml/2006/main" count="368" uniqueCount="76">
  <si>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</si>
  <si>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</si>
  <si>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</si>
  <si>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</si>
  <si>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</si>
  <si>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</si>
  <si>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</si>
  <si>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</si>
  <si>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</si>
  <si>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</si>
  <si>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</si>
  <si>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</si>
  <si>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Fatih Işık</t>
  </si>
  <si>
    <t>Seyyar Grafi</t>
  </si>
  <si>
    <t xml:space="preserve">Yazılan Mesai </t>
  </si>
  <si>
    <t>Yazılacak Mesai Saat</t>
  </si>
  <si>
    <t>Aylık Çalışılan Saat</t>
  </si>
  <si>
    <t>Fazla Mesai</t>
  </si>
  <si>
    <t>08:00-20:00</t>
  </si>
  <si>
    <t>20:00-08:00</t>
  </si>
  <si>
    <t>Cemil Oğuzcan</t>
  </si>
  <si>
    <t>Burak Şan</t>
  </si>
  <si>
    <t>Muhammet Tonkal</t>
  </si>
  <si>
    <t>Hakkı Tuncer</t>
  </si>
  <si>
    <t>Deniz Aslan</t>
  </si>
  <si>
    <t>Melek Ünal</t>
  </si>
  <si>
    <t>Ömer Demir</t>
  </si>
  <si>
    <t>Selin Dal</t>
  </si>
  <si>
    <t>Ufuk Aydoğan</t>
  </si>
  <si>
    <t>Kübra Gültaş</t>
  </si>
  <si>
    <t>Emre T. Şahin</t>
  </si>
  <si>
    <t>Şevval Demir</t>
  </si>
  <si>
    <t>Ahmet Yılmaz</t>
  </si>
  <si>
    <t>Mehmet Küskü</t>
  </si>
  <si>
    <t>Arzu Şahin</t>
  </si>
  <si>
    <t>Tuğçe Çalıkoğlu Eski</t>
  </si>
  <si>
    <t>Aylık Çalışma Gün Sayısı</t>
  </si>
  <si>
    <t>Resmi Tatil</t>
  </si>
  <si>
    <t>Tarih</t>
  </si>
  <si>
    <t>Zafer Bayramı</t>
  </si>
  <si>
    <t>Cumhuriyet Bayramı</t>
  </si>
  <si>
    <t>Yılbaşı</t>
  </si>
  <si>
    <t>Ramazan Bayramı Arifesi</t>
  </si>
  <si>
    <t>Ramazan Bayramı 1.gün</t>
  </si>
  <si>
    <t xml:space="preserve"> Ramazan Bayramı 2.gün</t>
  </si>
  <si>
    <t>Ramazan Bayramı 3.gün</t>
  </si>
  <si>
    <t xml:space="preserve"> Ulusal Egemenlik ve Çocuk Bayramı</t>
  </si>
  <si>
    <t>Emek ve Dayanışma Günü</t>
  </si>
  <si>
    <t>Atatürk’ü Anma Gençlik ve Spor Bayramı</t>
  </si>
  <si>
    <t xml:space="preserve"> Kurban Bayramı Arifesi</t>
  </si>
  <si>
    <t>Kurban Bayramı 1.gün</t>
  </si>
  <si>
    <t>Kurban Bayramı 2.gün</t>
  </si>
  <si>
    <t>Kurban Bayramı 3.gün</t>
  </si>
  <si>
    <t>Kurban Bayramı 4.gün</t>
  </si>
  <si>
    <t>Cumhuriyet Bayramı Arifesi</t>
  </si>
  <si>
    <t>Yılbaşı gecesi</t>
  </si>
  <si>
    <t>Demokrasi ve Millî Birlik Günü</t>
  </si>
  <si>
    <t>Aylık Çalışama Saati</t>
  </si>
  <si>
    <t>08:00 - 20:00</t>
  </si>
  <si>
    <t>20:00 - 08:00</t>
  </si>
  <si>
    <t>Ad Soyad</t>
  </si>
  <si>
    <t>İzin Başlama</t>
  </si>
  <si>
    <t>İzin Gün Sayısı</t>
  </si>
  <si>
    <t>İZİNLER</t>
  </si>
  <si>
    <t>Kalan Gün</t>
  </si>
  <si>
    <t>Kalan Saat</t>
  </si>
  <si>
    <t>Dilek Buzakoğlu</t>
  </si>
  <si>
    <t>İş Başı</t>
  </si>
  <si>
    <t>Fevzi Karahan</t>
  </si>
  <si>
    <t>İdari İzin</t>
  </si>
  <si>
    <t>Emine İnan</t>
  </si>
  <si>
    <t>Sendika</t>
  </si>
  <si>
    <t>Emzirme</t>
  </si>
  <si>
    <t>İzin Tipi</t>
  </si>
  <si>
    <t>İsmail Sarıgüzel</t>
  </si>
  <si>
    <t>Hasan Taş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</si>
</sst>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10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  <font>
      <b/>
      <sz val="9"/>
      <name val="Aptos Narrow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1"/>
      <name val="Aptos Narrow"/>
      <family val="2"/>
      <scheme val="minor"/>
    </font>
    <font>
      <b/>
      <sz val="11"/>
      <color theme="1"/>
      <name val="Calibri"/>
      <family val="2"/>
      <charset val="16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  <charset val="162"/>
    </font>
    <font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gradientFill type="path">
        <stop position="0">
          <color theme="0"/>
        </stop>
        <stop position="1">
          <color theme="3" tint="0.49803155613879818"/>
        </stop>
      </gradient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/>
    </xf>
    <xf numFmtId="164" fontId="0" fillId="0" borderId="0" xfId="0" applyNumberFormat="1"/>
    <xf numFmtId="0" fontId="0" fillId="0" borderId="1" xfId="0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0" xfId="0" quotePrefix="1" applyFont="1"/>
    <xf numFmtId="0" fontId="2" fillId="0" borderId="1" xfId="0" applyFont="1" applyBorder="1" applyAlignment="1" applyProtection="1">
      <alignment horizontal="center"/>
      <protection locked="0"/>
    </xf>
    <xf numFmtId="14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/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/>
    <xf numFmtId="0" fontId="2" fillId="0" borderId="18" xfId="0" applyFont="1" applyBorder="1" applyAlignment="1" applyProtection="1">
      <alignment horizontal="left" vertical="center" wrapText="1"/>
      <protection locked="0"/>
    </xf>
    <xf numFmtId="0" fontId="0" fillId="0" borderId="19" xfId="0" applyBorder="1" applyAlignment="1">
      <alignment horizontal="center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2" fillId="0" borderId="21" xfId="0" applyFont="1" applyBorder="1" applyAlignment="1" applyProtection="1">
      <alignment horizontal="center"/>
      <protection locked="0"/>
    </xf>
    <xf numFmtId="14" fontId="2" fillId="0" borderId="2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5" fillId="2" borderId="29" xfId="0" applyFont="1" applyFill="1" applyBorder="1" applyAlignment="1" applyProtection="1">
      <alignment horizontal="center"/>
      <protection locked="0"/>
    </xf>
    <xf numFmtId="0" fontId="5" fillId="2" borderId="30" xfId="0" applyFont="1" applyFill="1" applyBorder="1" applyAlignment="1" applyProtection="1">
      <alignment horizontal="center"/>
      <protection locked="0"/>
    </xf>
    <xf numFmtId="14" fontId="4" fillId="0" borderId="16" xfId="0" applyNumberFormat="1" applyFont="1" applyBorder="1"/>
    <xf numFmtId="14" fontId="4" fillId="0" borderId="18" xfId="0" applyNumberFormat="1" applyFont="1" applyBorder="1"/>
    <xf numFmtId="14" fontId="4" fillId="0" borderId="20" xfId="0" applyNumberFormat="1" applyFont="1" applyBorder="1"/>
    <xf numFmtId="0" fontId="2" fillId="0" borderId="30" xfId="0" applyFont="1" applyBorder="1" applyAlignment="1">
      <alignment horizontal="center" vertical="center"/>
    </xf>
    <xf numFmtId="0" fontId="7" fillId="0" borderId="41" xfId="0" applyFont="1" applyBorder="1"/>
    <xf numFmtId="0" fontId="9" fillId="0" borderId="42" xfId="0" applyFont="1" applyBorder="1" applyAlignment="1" applyProtection="1">
      <alignment horizontal="left"/>
      <protection locked="0"/>
    </xf>
    <xf numFmtId="0" fontId="9" fillId="0" borderId="26" xfId="0" applyFont="1" applyBorder="1" applyAlignment="1" applyProtection="1">
      <alignment horizontal="left"/>
      <protection locked="0"/>
    </xf>
    <xf numFmtId="0" fontId="9" fillId="0" borderId="27" xfId="0" applyFont="1" applyBorder="1" applyAlignment="1" applyProtection="1">
      <alignment horizontal="left"/>
      <protection locked="0"/>
    </xf>
    <xf numFmtId="0" fontId="2" fillId="0" borderId="29" xfId="0" applyFont="1" applyBorder="1" applyProtection="1">
      <protection locked="0"/>
    </xf>
    <xf numFmtId="0" fontId="2" fillId="0" borderId="13" xfId="0" applyFont="1" applyBorder="1"/>
    <xf numFmtId="0" fontId="2" fillId="0" borderId="30" xfId="0" applyFont="1" applyBorder="1"/>
    <xf numFmtId="0" fontId="2" fillId="0" borderId="18" xfId="0" applyFont="1" applyBorder="1" applyProtection="1">
      <protection locked="0"/>
    </xf>
    <xf numFmtId="0" fontId="2" fillId="0" borderId="19" xfId="0" applyFont="1" applyBorder="1"/>
    <xf numFmtId="0" fontId="0" fillId="0" borderId="43" xfId="0" applyBorder="1"/>
    <xf numFmtId="0" fontId="0" fillId="0" borderId="44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14" fontId="9" fillId="0" borderId="29" xfId="0" applyNumberFormat="1" applyFont="1" applyBorder="1" applyAlignment="1" applyProtection="1">
      <alignment horizontal="left" vertical="center"/>
      <protection locked="0"/>
    </xf>
    <xf numFmtId="0" fontId="9" fillId="0" borderId="13" xfId="0" applyFont="1" applyBorder="1" applyAlignment="1" applyProtection="1">
      <alignment horizontal="left"/>
      <protection locked="0"/>
    </xf>
    <xf numFmtId="0" fontId="9" fillId="0" borderId="30" xfId="0" applyFont="1" applyBorder="1" applyAlignment="1" applyProtection="1">
      <alignment horizontal="left"/>
      <protection locked="0"/>
    </xf>
    <xf numFmtId="14" fontId="9" fillId="0" borderId="11" xfId="0" applyNumberFormat="1" applyFont="1" applyBorder="1" applyAlignment="1" applyProtection="1">
      <alignment horizontal="left" vertical="center"/>
      <protection locked="0"/>
    </xf>
    <xf numFmtId="0" fontId="9" fillId="0" borderId="2" xfId="0" applyFont="1" applyBorder="1" applyAlignment="1" applyProtection="1">
      <alignment horizontal="left"/>
      <protection locked="0"/>
    </xf>
    <xf numFmtId="0" fontId="9" fillId="0" borderId="17" xfId="0" applyFont="1" applyBorder="1" applyAlignment="1" applyProtection="1">
      <alignment horizontal="left"/>
      <protection locked="0"/>
    </xf>
    <xf numFmtId="0" fontId="9" fillId="0" borderId="18" xfId="0" applyFont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left"/>
      <protection locked="0"/>
    </xf>
    <xf numFmtId="0" fontId="9" fillId="0" borderId="19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left"/>
      <protection locked="0"/>
    </xf>
    <xf numFmtId="0" fontId="9" fillId="0" borderId="28" xfId="0" applyFont="1" applyBorder="1" applyAlignment="1" applyProtection="1">
      <alignment horizontal="left"/>
      <protection locked="0"/>
    </xf>
    <xf numFmtId="0" fontId="9" fillId="0" borderId="20" xfId="0" applyFont="1" applyBorder="1" applyAlignment="1" applyProtection="1">
      <alignment horizontal="left"/>
      <protection locked="0"/>
    </xf>
    <xf numFmtId="0" fontId="9" fillId="0" borderId="21" xfId="0" applyFont="1" applyBorder="1" applyAlignment="1" applyProtection="1">
      <alignment horizontal="left"/>
      <protection locked="0"/>
    </xf>
    <xf numFmtId="0" fontId="9" fillId="0" borderId="22" xfId="0" applyFont="1" applyBorder="1" applyAlignment="1" applyProtection="1">
      <alignment horizontal="left"/>
      <protection locked="0"/>
    </xf>
    <xf numFmtId="0" fontId="9" fillId="0" borderId="33" xfId="0" applyFont="1" applyBorder="1" applyAlignment="1" applyProtection="1">
      <alignment horizontal="left"/>
      <protection locked="0"/>
    </xf>
    <xf numFmtId="0" fontId="2" fillId="0" borderId="29" xfId="0" applyFont="1" applyBorder="1" applyAlignment="1" applyProtection="1">
      <alignment horizontal="left" vertical="center" wrapText="1"/>
      <protection locked="0"/>
    </xf>
    <xf numFmtId="0" fontId="2" fillId="0" borderId="13" xfId="0" applyFont="1" applyBorder="1" applyAlignment="1" applyProtection="1">
      <alignment horizontal="center"/>
      <protection locked="0"/>
    </xf>
    <xf numFmtId="14" fontId="2" fillId="0" borderId="13" xfId="0" applyNumberFormat="1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20" xfId="0" applyFont="1" applyBorder="1" applyProtection="1">
      <protection locked="0"/>
    </xf>
    <xf numFmtId="0" fontId="2" fillId="0" borderId="21" xfId="0" applyFont="1" applyBorder="1"/>
    <xf numFmtId="0" fontId="0" fillId="0" borderId="21" xfId="0" applyBorder="1"/>
    <xf numFmtId="0" fontId="2" fillId="0" borderId="22" xfId="0" applyFont="1" applyBorder="1"/>
    <xf numFmtId="164" fontId="4" fillId="0" borderId="19" xfId="0" applyNumberFormat="1" applyFont="1" applyBorder="1" applyAlignment="1">
      <alignment horizontal="left"/>
    </xf>
    <xf numFmtId="164" fontId="4" fillId="0" borderId="22" xfId="0" applyNumberFormat="1" applyFont="1" applyBorder="1" applyAlignment="1">
      <alignment horizontal="left"/>
    </xf>
    <xf numFmtId="0" fontId="6" fillId="0" borderId="31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2" fillId="0" borderId="32" xfId="0" applyNumberFormat="1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5" xfId="0" applyNumberFormat="1" applyFont="1" applyBorder="1" applyAlignment="1" applyProtection="1">
      <alignment horizontal="center" vertical="center" wrapText="1"/>
      <protection locked="0"/>
    </xf>
    <xf numFmtId="14" fontId="2" fillId="0" borderId="4" xfId="0" applyNumberFormat="1" applyFont="1" applyBorder="1" applyAlignment="1" applyProtection="1">
      <alignment horizontal="center" vertical="center" wrapText="1"/>
      <protection locked="0"/>
    </xf>
    <xf numFmtId="14" fontId="2" fillId="0" borderId="47" xfId="0" applyNumberFormat="1" applyFont="1" applyBorder="1" applyAlignment="1" applyProtection="1">
      <alignment horizontal="center" vertical="center" wrapText="1"/>
      <protection locked="0"/>
    </xf>
    <xf numFmtId="14" fontId="2" fillId="0" borderId="48" xfId="0" applyNumberFormat="1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</cellXfs>
  <cellStyles count="1">
    <cellStyle name="Normal" xfId="0" builtinId="0"/>
  </cellStyles>
  <dxfs count="5"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D22"/>
  <sheetViews>
    <sheetView workbookViewId="0">
      <selection activeCell="D10" sqref="D10"/>
    </sheetView>
  </sheetViews>
  <sheetFormatPr defaultRowHeight="15" x14ac:dyDescent="0.25"/>
  <cols>
    <col min="3" max="3" width="10.140625" bestFit="1" customWidth="1"/>
    <col min="4" max="4" width="37.140625" bestFit="1" customWidth="1"/>
    <col min="5" max="5" width="37.5703125" bestFit="1" customWidth="1"/>
  </cols>
  <sheetData>
    <row r="1" spans="1:4" x14ac:dyDescent="0.25">
      <c r="A1" t="s">
        <v>0</v>
      </c>
      <c r="B1">
        <v>2025</v>
      </c>
      <c r="C1" s="2" t="s">
        <v>38</v>
      </c>
      <c r="D1" s="2" t="s">
        <v>37</v>
      </c>
    </row>
    <row r="2" spans="1:4" x14ac:dyDescent="0.25">
      <c r="A2" t="s">
        <v>1</v>
      </c>
      <c r="B2">
        <v>2026</v>
      </c>
      <c r="C2" s="8">
        <v>45658</v>
      </c>
      <c r="D2" s="9" t="s">
        <v>41</v>
      </c>
    </row>
    <row r="3" spans="1:4" x14ac:dyDescent="0.25">
      <c r="A3" t="s">
        <v>2</v>
      </c>
      <c r="B3">
        <v>2027</v>
      </c>
      <c r="C3" s="8">
        <v>45745</v>
      </c>
      <c r="D3" s="9" t="s">
        <v>42</v>
      </c>
    </row>
    <row r="4" spans="1:4" x14ac:dyDescent="0.25">
      <c r="A4" t="s">
        <v>3</v>
      </c>
      <c r="B4">
        <v>2028</v>
      </c>
      <c r="C4" s="8">
        <v>45746</v>
      </c>
      <c r="D4" s="9" t="s">
        <v>43</v>
      </c>
    </row>
    <row r="5" spans="1:4" x14ac:dyDescent="0.25">
      <c r="A5" t="s">
        <v>4</v>
      </c>
      <c r="B5">
        <v>2029</v>
      </c>
      <c r="C5" s="8">
        <v>45747</v>
      </c>
      <c r="D5" s="9" t="s">
        <v>44</v>
      </c>
    </row>
    <row r="6" spans="1:4" x14ac:dyDescent="0.25">
      <c r="A6" t="s">
        <v>5</v>
      </c>
      <c r="B6">
        <v>2030</v>
      </c>
      <c r="C6" s="8">
        <v>45748</v>
      </c>
      <c r="D6" s="9" t="s">
        <v>45</v>
      </c>
    </row>
    <row r="7" spans="1:4" x14ac:dyDescent="0.25">
      <c r="A7" t="s">
        <v>6</v>
      </c>
      <c r="C7" s="8">
        <v>45770</v>
      </c>
      <c r="D7" s="9" t="s">
        <v>46</v>
      </c>
    </row>
    <row r="8" spans="1:4" x14ac:dyDescent="0.25">
      <c r="A8" t="s">
        <v>7</v>
      </c>
      <c r="C8" s="8">
        <v>45778</v>
      </c>
      <c r="D8" s="9" t="s">
        <v>47</v>
      </c>
    </row>
    <row r="9" spans="1:4" x14ac:dyDescent="0.25">
      <c r="A9" t="s">
        <v>8</v>
      </c>
      <c r="C9" s="8">
        <v>45796</v>
      </c>
      <c r="D9" s="9" t="s">
        <v>48</v>
      </c>
    </row>
    <row r="10" spans="1:4" x14ac:dyDescent="0.25">
      <c r="A10" t="s">
        <v>9</v>
      </c>
      <c r="C10" s="8">
        <v>45813</v>
      </c>
      <c r="D10" s="9" t="s">
        <v>49</v>
      </c>
    </row>
    <row r="11" spans="1:4" x14ac:dyDescent="0.25">
      <c r="A11" t="s">
        <v>10</v>
      </c>
      <c r="C11" s="8">
        <v>45814</v>
      </c>
      <c r="D11" s="9" t="s">
        <v>50</v>
      </c>
    </row>
    <row r="12" spans="1:4" x14ac:dyDescent="0.25">
      <c r="A12" t="s">
        <v>11</v>
      </c>
      <c r="C12" s="8">
        <v>45815</v>
      </c>
      <c r="D12" s="9" t="s">
        <v>51</v>
      </c>
    </row>
    <row r="13" spans="1:4" x14ac:dyDescent="0.25">
      <c r="C13" s="8">
        <v>45816</v>
      </c>
      <c r="D13" s="9" t="s">
        <v>52</v>
      </c>
    </row>
    <row r="14" spans="1:4" x14ac:dyDescent="0.25">
      <c r="C14" s="8">
        <v>45817</v>
      </c>
      <c r="D14" s="9" t="s">
        <v>53</v>
      </c>
    </row>
    <row r="15" spans="1:4" x14ac:dyDescent="0.25">
      <c r="C15" s="8">
        <v>45853</v>
      </c>
      <c r="D15" s="9" t="s">
        <v>56</v>
      </c>
    </row>
    <row r="16" spans="1:4" x14ac:dyDescent="0.25">
      <c r="C16" s="8">
        <v>45899</v>
      </c>
      <c r="D16" s="9" t="s">
        <v>39</v>
      </c>
    </row>
    <row r="17" spans="3:4" x14ac:dyDescent="0.25">
      <c r="C17" s="8">
        <v>45958</v>
      </c>
      <c r="D17" s="9" t="s">
        <v>54</v>
      </c>
    </row>
    <row r="18" spans="3:4" x14ac:dyDescent="0.25">
      <c r="C18" s="8">
        <v>45959</v>
      </c>
      <c r="D18" s="9" t="s">
        <v>40</v>
      </c>
    </row>
    <row r="19" spans="3:4" x14ac:dyDescent="0.25">
      <c r="C19" s="8">
        <v>46022</v>
      </c>
      <c r="D19" s="9" t="s">
        <v>55</v>
      </c>
    </row>
    <row r="20" spans="3:4" x14ac:dyDescent="0.25">
      <c r="C20" s="1">
        <v>45749</v>
      </c>
      <c r="D20" s="9" t="s">
        <v>69</v>
      </c>
    </row>
    <row r="21" spans="3:4" x14ac:dyDescent="0.25">
      <c r="C21" s="1">
        <v>45750</v>
      </c>
      <c r="D21" s="9" t="s">
        <v>69</v>
      </c>
    </row>
    <row r="22" spans="3:4" x14ac:dyDescent="0.25">
      <c r="C22" s="1">
        <v>45751</v>
      </c>
      <c r="D22" s="9" t="s">
        <v>69</v>
      </c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V47"/>
  <sheetViews>
    <sheetView tabSelected="1" zoomScaleNormal="100" workbookViewId="0">
      <selection activeCell="E5" sqref="E5"/>
    </sheetView>
  </sheetViews>
  <sheetFormatPr defaultRowHeight="15" x14ac:dyDescent="0.25"/>
  <cols>
    <col min="1" max="1" width="10.140625" bestFit="1" customWidth="1"/>
    <col min="2" max="2" width="10" bestFit="1" customWidth="1"/>
    <col min="3" max="3" width="17.85546875" bestFit="1" customWidth="1"/>
    <col min="4" max="4" width="14.7109375" bestFit="1" customWidth="1"/>
    <col min="5" max="6" width="18.7109375" bestFit="1" customWidth="1"/>
    <col min="7" max="7" width="17.85546875" bestFit="1" customWidth="1"/>
    <col min="8" max="8" width="14.7109375" bestFit="1" customWidth="1"/>
    <col min="9" max="10" width="18.7109375" bestFit="1" customWidth="1"/>
    <col min="11" max="11" width="14.140625" bestFit="1" customWidth="1"/>
    <col min="13" max="13" width="19.140625" bestFit="1" customWidth="1"/>
    <col min="14" max="14" width="9.28515625" bestFit="1" customWidth="1"/>
    <col min="15" max="15" width="9.28515625" customWidth="1"/>
    <col min="16" max="16" width="9" customWidth="1"/>
    <col min="17" max="17" width="11" bestFit="1" customWidth="1"/>
    <col min="18" max="18" width="15.85546875" bestFit="1" customWidth="1"/>
    <col min="19" max="19" width="11.5703125" customWidth="1"/>
    <col min="20" max="20" width="10" bestFit="1" customWidth="1"/>
    <col min="21" max="21" width="4" bestFit="1" customWidth="1"/>
    <col min="23" max="23" width="10.140625" bestFit="1" customWidth="1"/>
  </cols>
  <sheetData>
    <row r="1" spans="1:20" ht="15.75" customHeight="1" thickTop="1" thickBot="1" x14ac:dyDescent="0.3">
      <c r="A1" s="93" t="str">
        <f>"Acil Radyoloji "&amp;A2&amp;" Nöbet Listesi"</f>
        <v>Acil Radyoloji Temmuz Nöbet Listesi</v>
      </c>
      <c r="B1" s="94"/>
      <c r="C1" s="94"/>
      <c r="D1" s="94"/>
      <c r="E1" s="94"/>
      <c r="F1" s="94"/>
      <c r="G1" s="94"/>
      <c r="H1" s="94"/>
      <c r="I1" s="94"/>
      <c r="J1" s="94"/>
      <c r="K1" s="95"/>
      <c r="L1" s="12"/>
      <c r="M1" s="96"/>
      <c r="N1" s="76" t="s">
        <v>18</v>
      </c>
      <c r="O1" s="76" t="s">
        <v>19</v>
      </c>
      <c r="P1" s="76" t="s">
        <v>13</v>
      </c>
      <c r="Q1" s="76" t="s">
        <v>14</v>
      </c>
      <c r="R1" s="76" t="s">
        <v>15</v>
      </c>
      <c r="S1" s="76" t="s">
        <v>16</v>
      </c>
      <c r="T1" s="81" t="s">
        <v>17</v>
      </c>
    </row>
    <row r="2" spans="1:20" ht="15" customHeight="1" thickBot="1" x14ac:dyDescent="0.3">
      <c r="A2" s="22" t="s">
        <v>6</v>
      </c>
      <c r="B2" s="23">
        <v>2025</v>
      </c>
      <c r="C2" s="87" t="s">
        <v>58</v>
      </c>
      <c r="D2" s="88"/>
      <c r="E2" s="88"/>
      <c r="F2" s="89"/>
      <c r="G2" s="90" t="s">
        <v>59</v>
      </c>
      <c r="H2" s="91"/>
      <c r="I2" s="91"/>
      <c r="J2" s="92"/>
      <c r="K2" s="28" t="s">
        <v>13</v>
      </c>
      <c r="L2" s="13"/>
      <c r="M2" s="97"/>
      <c r="N2" s="77"/>
      <c r="O2" s="77"/>
      <c r="P2" s="77"/>
      <c r="Q2" s="77"/>
      <c r="R2" s="77"/>
      <c r="S2" s="77"/>
      <c r="T2" s="82"/>
    </row>
    <row r="3" spans="1:20" ht="15.75" customHeight="1" thickBot="1" x14ac:dyDescent="0.3">
      <c r="A3" s="24">
        <f>DATE(B2,IF(A2="Ocak",1,IF(A2="Şubat",2,IF(A2="Mart",3,IF(A2="Nisan",4,IF(A2="Mayıs",5,IF(A2="Haziran",6,IF(A2="Temmuz",7,IF(A2="Ağustos",8,IF(A2="Eylül",9,IF(A2="Ekim",10,IF(A2="Kasım",11,IF(A2="Aralık",12,A2)))))))))))),1)</f>
        <v>45839</v>
      </c>
      <c r="B3" s="66" t="str">
        <f>TEXT(A3,"gggg")</f>
        <v>Salı</v>
      </c>
      <c r="C3" s="41" t="s">
        <v>70</v>
      </c>
      <c r="D3" s="42" t="s">
        <v>30</v>
      </c>
      <c r="E3" s="42" t="s">
        <v>12</v>
      </c>
      <c r="F3" s="43" t="s">
        <v>28</v>
      </c>
      <c r="G3" s="44" t="s">
        <v>70</v>
      </c>
      <c r="H3" s="45" t="s">
        <v>30</v>
      </c>
      <c r="I3" s="45" t="s">
        <v>12</v>
      </c>
      <c r="J3" s="46" t="s">
        <v>28</v>
      </c>
      <c r="K3" s="29" t="s">
        <v>34</v>
      </c>
      <c r="M3" s="97"/>
      <c r="N3" s="77"/>
      <c r="O3" s="77"/>
      <c r="P3" s="77"/>
      <c r="Q3" s="77"/>
      <c r="R3" s="77"/>
      <c r="S3" s="77"/>
      <c r="T3" s="82"/>
    </row>
    <row r="4" spans="1:20" x14ac:dyDescent="0.25">
      <c r="A4" s="25">
        <f>IF(MONTH(A3+1)=MONTH(A3),A3+1,IF(MONTH(A3)+1&lt;=12,DATE(YEAR(A3),MONTH(A3)+1,1),DATE(YEAR(A3)+1,1,1)))</f>
        <v>45840</v>
      </c>
      <c r="B4" s="66" t="str">
        <f t="shared" ref="B4:B33" si="0">TEXT(A4,"gggg")</f>
        <v>Çarşamba</v>
      </c>
      <c r="C4" s="47" t="s">
        <v>27</v>
      </c>
      <c r="D4" s="48" t="s">
        <v>29</v>
      </c>
      <c r="E4" s="48" t="s">
        <v>22</v>
      </c>
      <c r="F4" s="49" t="s">
        <v>35</v>
      </c>
      <c r="G4" s="50" t="s">
        <v>27</v>
      </c>
      <c r="H4" s="48" t="s">
        <v>29</v>
      </c>
      <c r="I4" s="48" t="s">
        <v>22</v>
      </c>
      <c r="J4" s="51" t="s">
        <v>35</v>
      </c>
      <c r="K4" s="29" t="s">
        <v>34</v>
      </c>
      <c r="M4" s="32" t="s">
        <v>20</v>
      </c>
      <c r="N4" s="33">
        <f>COUNTIF(C3:F33,M4)</f>
        <v>7</v>
      </c>
      <c r="O4" s="33">
        <f>COUNTIF(G3:J33,M4)</f>
        <v>8</v>
      </c>
      <c r="P4" s="33">
        <f>COUNTIF(K3:K33,M4)</f>
        <v>2</v>
      </c>
      <c r="Q4" s="33">
        <f>((N4+O4)+P4)</f>
        <v>17</v>
      </c>
      <c r="R4" s="33">
        <f>IFERROR(IF(VLOOKUP(M4,M35:T47,8,FALSE)="",D37,VLOOKUP(M4,M35:T47,8,FALSE)),NETWORKDAYS.INTL(A3,DATE(YEAR(A3),MONTH(A3)+1,1)-1,1,Sayfa2!C2:C30)*7)</f>
        <v>154</v>
      </c>
      <c r="S4" s="33">
        <f>(N4*12)+(O4*12)+(P4*7)</f>
        <v>194</v>
      </c>
      <c r="T4" s="34">
        <f>IF(S4-R4&lt;0,0,(S4-R4))</f>
        <v>40</v>
      </c>
    </row>
    <row r="5" spans="1:20" x14ac:dyDescent="0.25">
      <c r="A5" s="25">
        <f t="shared" ref="A5:A33" si="1">IF(MONTH(A4+1)=MONTH(A4),A4+1,IF(MONTH(A4)+1&lt;=12,DATE(YEAR(A4),MONTH(A4)+1,1),DATE(YEAR(A4)+1,1,1)))</f>
        <v>45841</v>
      </c>
      <c r="B5" s="66" t="str">
        <f t="shared" si="0"/>
        <v>Perşembe</v>
      </c>
      <c r="C5" s="47" t="s">
        <v>25</v>
      </c>
      <c r="D5" s="48" t="s">
        <v>30</v>
      </c>
      <c r="E5" s="48"/>
      <c r="F5" s="49" t="s">
        <v>20</v>
      </c>
      <c r="G5" s="50" t="s">
        <v>26</v>
      </c>
      <c r="H5" s="48" t="s">
        <v>30</v>
      </c>
      <c r="I5" s="48" t="s">
        <v>25</v>
      </c>
      <c r="J5" s="49" t="s">
        <v>20</v>
      </c>
      <c r="K5" s="30" t="s">
        <v>34</v>
      </c>
      <c r="M5" s="35" t="s">
        <v>21</v>
      </c>
      <c r="N5" s="10">
        <f>COUNTIF(C3:F33,M5)</f>
        <v>4</v>
      </c>
      <c r="O5" s="10">
        <f>COUNTIF(G3:J33,M5)</f>
        <v>4</v>
      </c>
      <c r="P5" s="11">
        <f>COUNTIF(K3:K33,M5)</f>
        <v>2</v>
      </c>
      <c r="Q5" s="10">
        <f t="shared" ref="Q5:Q27" si="2">((N5+O5)+P5)</f>
        <v>10</v>
      </c>
      <c r="R5" s="10">
        <f>IFERROR(IF(VLOOKUP(M5,M35:T47,8,FALSE)="",D37,VLOOKUP(M5,M35:T47,8,FALSE)),NETWORKDAYS.INTL(A3,DATE(YEAR(A3),MONTH(A3)+1,1)-1,1,Sayfa2!C2:C30)*7)</f>
        <v>91</v>
      </c>
      <c r="S5" s="14">
        <f t="shared" ref="S5:S27" si="3">(N5*12)+(O5*12)+(P5*7)</f>
        <v>110</v>
      </c>
      <c r="T5" s="36">
        <f t="shared" ref="T5:T27" si="4">IF(S5-R5&lt;0,0,(S5-R5))</f>
        <v>19</v>
      </c>
    </row>
    <row r="6" spans="1:20" x14ac:dyDescent="0.25">
      <c r="A6" s="25">
        <f t="shared" si="1"/>
        <v>45842</v>
      </c>
      <c r="B6" s="66" t="str">
        <f t="shared" si="0"/>
        <v>Cuma</v>
      </c>
      <c r="C6" s="47" t="s">
        <v>12</v>
      </c>
      <c r="D6" s="48" t="s">
        <v>32</v>
      </c>
      <c r="E6" s="48" t="s">
        <v>74</v>
      </c>
      <c r="F6" s="49" t="s">
        <v>28</v>
      </c>
      <c r="G6" s="50" t="s">
        <v>12</v>
      </c>
      <c r="H6" s="48" t="s">
        <v>32</v>
      </c>
      <c r="I6" s="48" t="s">
        <v>74</v>
      </c>
      <c r="J6" s="49" t="s">
        <v>28</v>
      </c>
      <c r="K6" s="30" t="s">
        <v>34</v>
      </c>
      <c r="M6" s="35" t="s">
        <v>22</v>
      </c>
      <c r="N6" s="10">
        <f>COUNTIF(C3:F33,M6)</f>
        <v>6</v>
      </c>
      <c r="O6" s="10">
        <f>COUNTIF(G3:J33,M6)</f>
        <v>7</v>
      </c>
      <c r="P6" s="11">
        <f>COUNTIF(K3:K33,M6)</f>
        <v>0</v>
      </c>
      <c r="Q6" s="10">
        <f t="shared" si="2"/>
        <v>13</v>
      </c>
      <c r="R6" s="10">
        <f>IFERROR(IF(VLOOKUP(M6,M35:T47,8,FALSE)="",D37,VLOOKUP(M6,M35:T47,8,FALSE)),NETWORKDAYS.INTL(A3,DATE(YEAR(A3),MONTH(A3)+1,1)-1,1,Sayfa2!C2:C30)*7)</f>
        <v>133</v>
      </c>
      <c r="S6" s="14">
        <f t="shared" si="3"/>
        <v>156</v>
      </c>
      <c r="T6" s="36">
        <f t="shared" si="4"/>
        <v>23</v>
      </c>
    </row>
    <row r="7" spans="1:20" x14ac:dyDescent="0.25">
      <c r="A7" s="25">
        <f t="shared" si="1"/>
        <v>45843</v>
      </c>
      <c r="B7" s="66" t="str">
        <f t="shared" si="0"/>
        <v>Cumartesi</v>
      </c>
      <c r="C7" s="47" t="s">
        <v>22</v>
      </c>
      <c r="D7" s="48" t="s">
        <v>25</v>
      </c>
      <c r="E7" s="48" t="s">
        <v>68</v>
      </c>
      <c r="F7" s="49" t="s">
        <v>66</v>
      </c>
      <c r="G7" s="50" t="s">
        <v>22</v>
      </c>
      <c r="H7" s="48" t="s">
        <v>25</v>
      </c>
      <c r="I7" s="48" t="s">
        <v>29</v>
      </c>
      <c r="J7" s="49" t="s">
        <v>66</v>
      </c>
      <c r="K7" s="30" t="s">
        <v>20</v>
      </c>
      <c r="M7" s="35" t="s">
        <v>23</v>
      </c>
      <c r="N7" s="10">
        <f>COUNTIF(C3:F33,M7)</f>
        <v>8</v>
      </c>
      <c r="O7" s="10">
        <f>COUNTIF(G3:J33,M7)</f>
        <v>8</v>
      </c>
      <c r="P7" s="11">
        <f>COUNTIF(K3:K33,M7)</f>
        <v>0</v>
      </c>
      <c r="Q7" s="10">
        <f t="shared" si="2"/>
        <v>16</v>
      </c>
      <c r="R7" s="10">
        <f>IFERROR(IF(VLOOKUP(M7,M35:T47,8,FALSE)="",D37,VLOOKUP(M7,M35:T47,8,FALSE)),NETWORKDAYS.INTL(A3,DATE(YEAR(A3),MONTH(A3)+1,1)-1,1,Sayfa2!C2:C30)*7)</f>
        <v>154</v>
      </c>
      <c r="S7" s="14">
        <f t="shared" si="3"/>
        <v>192</v>
      </c>
      <c r="T7" s="36">
        <f t="shared" si="4"/>
        <v>38</v>
      </c>
    </row>
    <row r="8" spans="1:20" x14ac:dyDescent="0.25">
      <c r="A8" s="25">
        <f t="shared" si="1"/>
        <v>45844</v>
      </c>
      <c r="B8" s="66" t="str">
        <f t="shared" si="0"/>
        <v>Pazar</v>
      </c>
      <c r="C8" s="47" t="s">
        <v>27</v>
      </c>
      <c r="D8" s="48" t="s">
        <v>74</v>
      </c>
      <c r="E8" s="48" t="s">
        <v>31</v>
      </c>
      <c r="F8" s="49" t="s">
        <v>35</v>
      </c>
      <c r="G8" s="50" t="s">
        <v>27</v>
      </c>
      <c r="H8" s="48" t="s">
        <v>74</v>
      </c>
      <c r="I8" s="48" t="s">
        <v>31</v>
      </c>
      <c r="J8" s="49" t="s">
        <v>35</v>
      </c>
      <c r="K8" s="30" t="s">
        <v>12</v>
      </c>
      <c r="M8" s="35" t="s">
        <v>24</v>
      </c>
      <c r="N8" s="10">
        <f>COUNTIF(C3:F33,M8)</f>
        <v>3</v>
      </c>
      <c r="O8" s="10">
        <f>COUNTIF(G3:J33,M8)</f>
        <v>4</v>
      </c>
      <c r="P8" s="11">
        <f>COUNTIF(K3:K33,M8)</f>
        <v>0</v>
      </c>
      <c r="Q8" s="10">
        <f t="shared" si="2"/>
        <v>7</v>
      </c>
      <c r="R8" s="10">
        <f>IFERROR(IF(VLOOKUP(M8,M35:T47,8,FALSE)="",D37,VLOOKUP(M8,M35:T47,8,FALSE)),NETWORKDAYS.INTL(A3,DATE(YEAR(A3),MONTH(A3)+1,1)-1,1,Sayfa2!C2:C30)*7)</f>
        <v>84</v>
      </c>
      <c r="S8" s="14">
        <f t="shared" si="3"/>
        <v>84</v>
      </c>
      <c r="T8" s="36">
        <f t="shared" si="4"/>
        <v>0</v>
      </c>
    </row>
    <row r="9" spans="1:20" x14ac:dyDescent="0.25">
      <c r="A9" s="25">
        <f t="shared" si="1"/>
        <v>45845</v>
      </c>
      <c r="B9" s="66" t="str">
        <f t="shared" si="0"/>
        <v>Pazartesi</v>
      </c>
      <c r="C9" s="47" t="s">
        <v>28</v>
      </c>
      <c r="D9" s="48" t="s">
        <v>29</v>
      </c>
      <c r="E9" s="48" t="s">
        <v>32</v>
      </c>
      <c r="F9" s="49" t="s">
        <v>30</v>
      </c>
      <c r="G9" s="50" t="s">
        <v>28</v>
      </c>
      <c r="H9" s="48" t="s">
        <v>29</v>
      </c>
      <c r="I9" s="48" t="s">
        <v>32</v>
      </c>
      <c r="J9" s="49" t="s">
        <v>30</v>
      </c>
      <c r="K9" s="30" t="s">
        <v>34</v>
      </c>
      <c r="M9" s="35" t="s">
        <v>25</v>
      </c>
      <c r="N9" s="10">
        <f>COUNTIF(C3:F33,M9)</f>
        <v>8</v>
      </c>
      <c r="O9" s="10">
        <f>COUNTIF(G3:J33,M9)</f>
        <v>6</v>
      </c>
      <c r="P9" s="11">
        <f>COUNTIF(K3:K33,M9)</f>
        <v>0</v>
      </c>
      <c r="Q9" s="10">
        <f t="shared" si="2"/>
        <v>14</v>
      </c>
      <c r="R9" s="10">
        <f>IFERROR(IF(VLOOKUP(M9,M35:T47,8,FALSE)="",D37,VLOOKUP(M9,M35:T47,8,FALSE)),NETWORKDAYS.INTL(A3,DATE(YEAR(A3),MONTH(A3)+1,1)-1,1,Sayfa2!C2:C30)*7)</f>
        <v>154</v>
      </c>
      <c r="S9" s="14">
        <f t="shared" si="3"/>
        <v>168</v>
      </c>
      <c r="T9" s="36">
        <f t="shared" si="4"/>
        <v>14</v>
      </c>
    </row>
    <row r="10" spans="1:20" x14ac:dyDescent="0.25">
      <c r="A10" s="25">
        <f t="shared" si="1"/>
        <v>45846</v>
      </c>
      <c r="B10" s="66" t="str">
        <f t="shared" si="0"/>
        <v>Salı</v>
      </c>
      <c r="C10" s="47" t="s">
        <v>12</v>
      </c>
      <c r="D10" s="48" t="s">
        <v>25</v>
      </c>
      <c r="E10" s="48" t="s">
        <v>70</v>
      </c>
      <c r="F10" s="49" t="s">
        <v>20</v>
      </c>
      <c r="G10" s="50" t="s">
        <v>12</v>
      </c>
      <c r="H10" s="48" t="s">
        <v>33</v>
      </c>
      <c r="I10" s="48" t="s">
        <v>70</v>
      </c>
      <c r="J10" s="49" t="s">
        <v>20</v>
      </c>
      <c r="K10" s="30" t="s">
        <v>34</v>
      </c>
      <c r="M10" s="35" t="s">
        <v>26</v>
      </c>
      <c r="N10" s="10">
        <f>COUNTIF(C3:F33,M10)</f>
        <v>6</v>
      </c>
      <c r="O10" s="10">
        <f>COUNTIF(G3:J33,M10)</f>
        <v>7</v>
      </c>
      <c r="P10" s="11">
        <f>COUNTIF(K3:K33,M10)</f>
        <v>0</v>
      </c>
      <c r="Q10" s="10">
        <f t="shared" si="2"/>
        <v>13</v>
      </c>
      <c r="R10" s="10">
        <f>IFERROR(IF(VLOOKUP(M10,M35:T47,8,FALSE)="",D37,VLOOKUP(M10,M35:T47,8,FALSE)),NETWORKDAYS.INTL(A3,DATE(YEAR(A3),MONTH(A3)+1,1)-1,1,Sayfa2!C2:C30)*7)</f>
        <v>154</v>
      </c>
      <c r="S10" s="14">
        <f t="shared" si="3"/>
        <v>156</v>
      </c>
      <c r="T10" s="36">
        <f t="shared" si="4"/>
        <v>2</v>
      </c>
    </row>
    <row r="11" spans="1:20" x14ac:dyDescent="0.25">
      <c r="A11" s="25">
        <f t="shared" si="1"/>
        <v>45847</v>
      </c>
      <c r="B11" s="66" t="str">
        <f t="shared" si="0"/>
        <v>Çarşamba</v>
      </c>
      <c r="C11" s="47" t="s">
        <v>27</v>
      </c>
      <c r="D11" s="48" t="s">
        <v>30</v>
      </c>
      <c r="E11" s="48" t="s">
        <v>31</v>
      </c>
      <c r="F11" s="49" t="s">
        <v>22</v>
      </c>
      <c r="G11" s="50" t="s">
        <v>27</v>
      </c>
      <c r="H11" s="48" t="s">
        <v>30</v>
      </c>
      <c r="I11" s="48" t="s">
        <v>31</v>
      </c>
      <c r="J11" s="49" t="s">
        <v>22</v>
      </c>
      <c r="K11" s="30" t="s">
        <v>34</v>
      </c>
      <c r="M11" s="35" t="s">
        <v>27</v>
      </c>
      <c r="N11" s="10">
        <f>COUNTIF(C3:F33,M11)</f>
        <v>7</v>
      </c>
      <c r="O11" s="10">
        <f>COUNTIF(G3:J33,M11)</f>
        <v>6</v>
      </c>
      <c r="P11" s="11">
        <f>COUNTIF(K3:K33,M11)</f>
        <v>0</v>
      </c>
      <c r="Q11" s="10">
        <f t="shared" si="2"/>
        <v>13</v>
      </c>
      <c r="R11" s="10">
        <f>IFERROR(IF(VLOOKUP(M11,M35:T47,8,FALSE)="",D37,VLOOKUP(M11,M35:T47,8,FALSE)),NETWORKDAYS.INTL(A3,DATE(YEAR(A3),MONTH(A3)+1,1)-1,1,Sayfa2!C2:C30)*7)</f>
        <v>154</v>
      </c>
      <c r="S11" s="14">
        <f t="shared" si="3"/>
        <v>156</v>
      </c>
      <c r="T11" s="36">
        <f t="shared" si="4"/>
        <v>2</v>
      </c>
    </row>
    <row r="12" spans="1:20" x14ac:dyDescent="0.25">
      <c r="A12" s="25">
        <f t="shared" si="1"/>
        <v>45848</v>
      </c>
      <c r="B12" s="66" t="str">
        <f t="shared" si="0"/>
        <v>Perşembe</v>
      </c>
      <c r="C12" s="47" t="s">
        <v>26</v>
      </c>
      <c r="D12" s="48" t="s">
        <v>25</v>
      </c>
      <c r="E12" s="48" t="s">
        <v>74</v>
      </c>
      <c r="F12" s="49" t="s">
        <v>66</v>
      </c>
      <c r="G12" s="50" t="s">
        <v>26</v>
      </c>
      <c r="H12" s="48" t="s">
        <v>25</v>
      </c>
      <c r="I12" s="48" t="s">
        <v>74</v>
      </c>
      <c r="J12" s="49" t="s">
        <v>66</v>
      </c>
      <c r="K12" s="30" t="s">
        <v>34</v>
      </c>
      <c r="M12" s="35" t="s">
        <v>28</v>
      </c>
      <c r="N12" s="10">
        <f>COUNTIF(C3:F33,M12)</f>
        <v>7</v>
      </c>
      <c r="O12" s="10">
        <f>COUNTIF(G3:J33,M12)</f>
        <v>7</v>
      </c>
      <c r="P12" s="11">
        <f>COUNTIF(K3:K33,M12)</f>
        <v>1</v>
      </c>
      <c r="Q12" s="10">
        <f t="shared" si="2"/>
        <v>15</v>
      </c>
      <c r="R12" s="10">
        <f>IFERROR(IF(VLOOKUP(M12,M35:T47,8,FALSE)="",D37,VLOOKUP(M12,M35:T47,8,FALSE)),NETWORKDAYS.INTL(A3,DATE(YEAR(A3),MONTH(A3)+1,1)-1,1,Sayfa2!C2:C30)*7)</f>
        <v>154</v>
      </c>
      <c r="S12" s="14">
        <f t="shared" si="3"/>
        <v>175</v>
      </c>
      <c r="T12" s="36">
        <f t="shared" si="4"/>
        <v>21</v>
      </c>
    </row>
    <row r="13" spans="1:20" x14ac:dyDescent="0.25">
      <c r="A13" s="25">
        <f t="shared" si="1"/>
        <v>45849</v>
      </c>
      <c r="B13" s="66" t="str">
        <f t="shared" si="0"/>
        <v>Cuma</v>
      </c>
      <c r="C13" s="47" t="s">
        <v>22</v>
      </c>
      <c r="D13" s="48" t="s">
        <v>28</v>
      </c>
      <c r="E13" s="48" t="s">
        <v>35</v>
      </c>
      <c r="F13" s="49" t="s">
        <v>20</v>
      </c>
      <c r="G13" s="50" t="s">
        <v>22</v>
      </c>
      <c r="H13" s="48" t="s">
        <v>28</v>
      </c>
      <c r="I13" s="48" t="s">
        <v>35</v>
      </c>
      <c r="J13" s="49" t="s">
        <v>20</v>
      </c>
      <c r="K13" s="30" t="s">
        <v>34</v>
      </c>
      <c r="M13" s="35" t="s">
        <v>29</v>
      </c>
      <c r="N13" s="10">
        <f>COUNTIF(C3:F33,M13)</f>
        <v>7</v>
      </c>
      <c r="O13" s="10">
        <f>COUNTIF(G3:J33,M13)</f>
        <v>8</v>
      </c>
      <c r="P13" s="11">
        <f>COUNTIF(K3:K33,M13)</f>
        <v>0</v>
      </c>
      <c r="Q13" s="10">
        <f t="shared" si="2"/>
        <v>15</v>
      </c>
      <c r="R13" s="10">
        <f>IFERROR(IF(VLOOKUP(M13,M35:T47,8,FALSE)="",D37,VLOOKUP(M13,M35:T47,8,FALSE)),NETWORKDAYS.INTL(A3,DATE(YEAR(A3),MONTH(A3)+1,1)-1,1,Sayfa2!C2:C30)*7)</f>
        <v>154</v>
      </c>
      <c r="S13" s="14">
        <f t="shared" si="3"/>
        <v>180</v>
      </c>
      <c r="T13" s="36">
        <f t="shared" si="4"/>
        <v>26</v>
      </c>
    </row>
    <row r="14" spans="1:20" x14ac:dyDescent="0.25">
      <c r="A14" s="25">
        <f t="shared" si="1"/>
        <v>45850</v>
      </c>
      <c r="B14" s="66" t="str">
        <f t="shared" si="0"/>
        <v>Cumartesi</v>
      </c>
      <c r="C14" s="47" t="s">
        <v>27</v>
      </c>
      <c r="D14" s="48" t="s">
        <v>33</v>
      </c>
      <c r="E14" s="48" t="s">
        <v>66</v>
      </c>
      <c r="F14" s="49" t="s">
        <v>25</v>
      </c>
      <c r="G14" s="50" t="s">
        <v>27</v>
      </c>
      <c r="H14" s="48" t="s">
        <v>33</v>
      </c>
      <c r="I14" s="48" t="s">
        <v>66</v>
      </c>
      <c r="J14" s="49" t="s">
        <v>25</v>
      </c>
      <c r="K14" s="30" t="s">
        <v>34</v>
      </c>
      <c r="M14" s="35" t="s">
        <v>30</v>
      </c>
      <c r="N14" s="10">
        <f>COUNTIF(C3:F33,M14)</f>
        <v>7</v>
      </c>
      <c r="O14" s="10">
        <f>COUNTIF(G3:J33,M14)</f>
        <v>6</v>
      </c>
      <c r="P14" s="11">
        <f>COUNTIF(K3:K33,M14)</f>
        <v>0</v>
      </c>
      <c r="Q14" s="10">
        <f t="shared" si="2"/>
        <v>13</v>
      </c>
      <c r="R14" s="10">
        <f>IFERROR(IF(VLOOKUP(M14,M35:T47,8,FALSE)="",D37,VLOOKUP(M14,M35:T47,8,FALSE)),NETWORKDAYS.INTL(A3,DATE(YEAR(A3),MONTH(A3)+1,1)-1,1,Sayfa2!C2:C30)*7)</f>
        <v>136.4</v>
      </c>
      <c r="S14" s="14">
        <f t="shared" si="3"/>
        <v>156</v>
      </c>
      <c r="T14" s="36">
        <f t="shared" si="4"/>
        <v>19.599999999999994</v>
      </c>
    </row>
    <row r="15" spans="1:20" x14ac:dyDescent="0.25">
      <c r="A15" s="25">
        <f t="shared" si="1"/>
        <v>45851</v>
      </c>
      <c r="B15" s="66" t="str">
        <f t="shared" si="0"/>
        <v>Pazar</v>
      </c>
      <c r="C15" s="47" t="s">
        <v>21</v>
      </c>
      <c r="D15" s="48" t="s">
        <v>32</v>
      </c>
      <c r="E15" s="48" t="s">
        <v>31</v>
      </c>
      <c r="F15" s="49" t="s">
        <v>70</v>
      </c>
      <c r="G15" s="50" t="s">
        <v>21</v>
      </c>
      <c r="H15" s="48" t="s">
        <v>32</v>
      </c>
      <c r="I15" s="48" t="s">
        <v>31</v>
      </c>
      <c r="J15" s="49" t="s">
        <v>70</v>
      </c>
      <c r="K15" s="30" t="s">
        <v>28</v>
      </c>
      <c r="M15" s="35" t="s">
        <v>31</v>
      </c>
      <c r="N15" s="10">
        <f>COUNTIF(C3:F33,M15)</f>
        <v>5</v>
      </c>
      <c r="O15" s="10">
        <f>COUNTIF(G3:J33,M15)</f>
        <v>5</v>
      </c>
      <c r="P15" s="11">
        <f>COUNTIF(K3:K33,M15)</f>
        <v>0</v>
      </c>
      <c r="Q15" s="10">
        <f t="shared" si="2"/>
        <v>10</v>
      </c>
      <c r="R15" s="10">
        <f>IFERROR(IF(VLOOKUP(M15,M35:T47,8,FALSE)="",D37,VLOOKUP(M15,M35:T47,8,FALSE)),NETWORKDAYS.INTL(A3,DATE(YEAR(A3),MONTH(A3)+1,1)-1,1,Sayfa2!C2:C30)*7)</f>
        <v>121</v>
      </c>
      <c r="S15" s="14">
        <f t="shared" si="3"/>
        <v>120</v>
      </c>
      <c r="T15" s="36">
        <f t="shared" si="4"/>
        <v>0</v>
      </c>
    </row>
    <row r="16" spans="1:20" x14ac:dyDescent="0.25">
      <c r="A16" s="25">
        <f t="shared" si="1"/>
        <v>45852</v>
      </c>
      <c r="B16" s="66" t="str">
        <f t="shared" si="0"/>
        <v>Pazartesi</v>
      </c>
      <c r="C16" s="47" t="s">
        <v>26</v>
      </c>
      <c r="D16" s="48" t="s">
        <v>25</v>
      </c>
      <c r="E16" s="48" t="s">
        <v>30</v>
      </c>
      <c r="F16" s="49" t="s">
        <v>20</v>
      </c>
      <c r="G16" s="50" t="s">
        <v>26</v>
      </c>
      <c r="H16" s="48" t="s">
        <v>25</v>
      </c>
      <c r="I16" s="48" t="s">
        <v>30</v>
      </c>
      <c r="J16" s="49" t="s">
        <v>20</v>
      </c>
      <c r="K16" s="30" t="s">
        <v>74</v>
      </c>
      <c r="M16" s="35" t="s">
        <v>32</v>
      </c>
      <c r="N16" s="10">
        <f>COUNTIF(C3:F33,M16)</f>
        <v>7</v>
      </c>
      <c r="O16" s="10">
        <f>COUNTIF(G3:J33,M16)</f>
        <v>8</v>
      </c>
      <c r="P16" s="11">
        <f>COUNTIF(K3:K33,M16)</f>
        <v>0</v>
      </c>
      <c r="Q16" s="10">
        <f t="shared" si="2"/>
        <v>15</v>
      </c>
      <c r="R16" s="10">
        <f>IFERROR(IF(VLOOKUP(M16,M35:T47,8,FALSE)="",D37,VLOOKUP(M16,M35:T47,8,FALSE)),NETWORKDAYS.INTL(A3,DATE(YEAR(A3),MONTH(A3)+1,1)-1,1,Sayfa2!C2:C30)*7)</f>
        <v>154</v>
      </c>
      <c r="S16" s="14">
        <f t="shared" si="3"/>
        <v>180</v>
      </c>
      <c r="T16" s="36">
        <f t="shared" si="4"/>
        <v>26</v>
      </c>
    </row>
    <row r="17" spans="1:20" x14ac:dyDescent="0.25">
      <c r="A17" s="25">
        <f t="shared" si="1"/>
        <v>45853</v>
      </c>
      <c r="B17" s="66" t="str">
        <f t="shared" si="0"/>
        <v>Salı</v>
      </c>
      <c r="C17" s="47" t="s">
        <v>28</v>
      </c>
      <c r="D17" s="48" t="s">
        <v>23</v>
      </c>
      <c r="E17" s="48" t="s">
        <v>32</v>
      </c>
      <c r="F17" s="49" t="s">
        <v>33</v>
      </c>
      <c r="G17" s="50" t="s">
        <v>28</v>
      </c>
      <c r="H17" s="48" t="s">
        <v>23</v>
      </c>
      <c r="I17" s="48" t="s">
        <v>32</v>
      </c>
      <c r="J17" s="49" t="s">
        <v>33</v>
      </c>
      <c r="K17" s="30" t="s">
        <v>21</v>
      </c>
      <c r="M17" s="35" t="s">
        <v>33</v>
      </c>
      <c r="N17" s="10">
        <f>COUNTIF(C3:F33,M17)</f>
        <v>7</v>
      </c>
      <c r="O17" s="10">
        <f>COUNTIF(G3:J33,M17)</f>
        <v>8</v>
      </c>
      <c r="P17" s="11">
        <f>COUNTIF(K3:K33,M17)</f>
        <v>0</v>
      </c>
      <c r="Q17" s="10">
        <f t="shared" si="2"/>
        <v>15</v>
      </c>
      <c r="R17" s="10">
        <f>IFERROR(IF(VLOOKUP(M17,M35:T47,8,FALSE)="",D37,VLOOKUP(M17,M35:T47,8,FALSE)),NETWORKDAYS.INTL(A3,DATE(YEAR(A3),MONTH(A3)+1,1)-1,1,Sayfa2!C2:C30)*7)</f>
        <v>154</v>
      </c>
      <c r="S17" s="14">
        <f t="shared" si="3"/>
        <v>180</v>
      </c>
      <c r="T17" s="36">
        <f t="shared" si="4"/>
        <v>26</v>
      </c>
    </row>
    <row r="18" spans="1:20" x14ac:dyDescent="0.25">
      <c r="A18" s="25">
        <f t="shared" si="1"/>
        <v>45854</v>
      </c>
      <c r="B18" s="66" t="str">
        <f t="shared" si="0"/>
        <v>Çarşamba</v>
      </c>
      <c r="C18" s="47" t="s">
        <v>75</v>
      </c>
      <c r="D18" s="48" t="s">
        <v>20</v>
      </c>
      <c r="E18" s="48" t="s">
        <v>70</v>
      </c>
      <c r="F18" s="49" t="s">
        <v>74</v>
      </c>
      <c r="G18" s="50" t="s">
        <v>75</v>
      </c>
      <c r="H18" s="48" t="s">
        <v>20</v>
      </c>
      <c r="I18" s="48" t="s">
        <v>70</v>
      </c>
      <c r="J18" s="49" t="s">
        <v>74</v>
      </c>
      <c r="K18" s="30" t="s">
        <v>34</v>
      </c>
      <c r="M18" s="35" t="s">
        <v>12</v>
      </c>
      <c r="N18" s="10">
        <f>COUNTIF(C3:F33,M18)</f>
        <v>3</v>
      </c>
      <c r="O18" s="10">
        <f>COUNTIF(G3:J33,M18)</f>
        <v>3</v>
      </c>
      <c r="P18" s="11">
        <f>COUNTIF(K3:K33,M18)</f>
        <v>1</v>
      </c>
      <c r="Q18" s="10">
        <f t="shared" si="2"/>
        <v>7</v>
      </c>
      <c r="R18" s="10">
        <f>IFERROR(IF(VLOOKUP(M18,M35:T47,8,FALSE)="",D37,VLOOKUP(M18,M35:T47,8,FALSE)),NETWORKDAYS.INTL(A3,DATE(YEAR(A3),MONTH(A3)+1,1)-1,1,Sayfa2!C2:C30)*7)</f>
        <v>77</v>
      </c>
      <c r="S18" s="14">
        <f t="shared" si="3"/>
        <v>79</v>
      </c>
      <c r="T18" s="36">
        <f t="shared" si="4"/>
        <v>2</v>
      </c>
    </row>
    <row r="19" spans="1:20" x14ac:dyDescent="0.25">
      <c r="A19" s="25">
        <f t="shared" si="1"/>
        <v>45855</v>
      </c>
      <c r="B19" s="66" t="str">
        <f t="shared" si="0"/>
        <v>Perşembe</v>
      </c>
      <c r="C19" s="47" t="s">
        <v>22</v>
      </c>
      <c r="D19" s="48" t="s">
        <v>27</v>
      </c>
      <c r="E19" s="48" t="s">
        <v>23</v>
      </c>
      <c r="F19" s="49" t="s">
        <v>35</v>
      </c>
      <c r="G19" s="50" t="s">
        <v>22</v>
      </c>
      <c r="H19" s="48" t="s">
        <v>24</v>
      </c>
      <c r="I19" s="48" t="s">
        <v>23</v>
      </c>
      <c r="J19" s="49" t="s">
        <v>35</v>
      </c>
      <c r="K19" s="30" t="s">
        <v>34</v>
      </c>
      <c r="M19" s="35" t="s">
        <v>35</v>
      </c>
      <c r="N19" s="10">
        <f>COUNTIF(C3:F33,M19)</f>
        <v>5</v>
      </c>
      <c r="O19" s="10">
        <f>COUNTIF(G3:J33,M19)</f>
        <v>5</v>
      </c>
      <c r="P19" s="11">
        <f>COUNTIF(K3:K33,M19)</f>
        <v>0</v>
      </c>
      <c r="Q19" s="10">
        <f t="shared" si="2"/>
        <v>10</v>
      </c>
      <c r="R19" s="10">
        <f>IFERROR(IF(VLOOKUP(M19,M35:T47,8,FALSE)="",D37,VLOOKUP(M19,M35:T47,8,FALSE)),NETWORKDAYS.INTL(A3,DATE(YEAR(A3),MONTH(A3)+1,1)-1,1,Sayfa2!C2:C30)*7)</f>
        <v>121</v>
      </c>
      <c r="S19" s="14">
        <f t="shared" si="3"/>
        <v>120</v>
      </c>
      <c r="T19" s="36">
        <f t="shared" si="4"/>
        <v>0</v>
      </c>
    </row>
    <row r="20" spans="1:20" x14ac:dyDescent="0.25">
      <c r="A20" s="25">
        <f t="shared" si="1"/>
        <v>45856</v>
      </c>
      <c r="B20" s="66" t="str">
        <f t="shared" si="0"/>
        <v>Cuma</v>
      </c>
      <c r="C20" s="47" t="s">
        <v>21</v>
      </c>
      <c r="D20" s="48" t="s">
        <v>30</v>
      </c>
      <c r="E20" s="48" t="s">
        <v>33</v>
      </c>
      <c r="F20" s="49" t="s">
        <v>25</v>
      </c>
      <c r="G20" s="50" t="s">
        <v>21</v>
      </c>
      <c r="H20" s="48" t="s">
        <v>32</v>
      </c>
      <c r="I20" s="48" t="s">
        <v>33</v>
      </c>
      <c r="J20" s="49" t="s">
        <v>20</v>
      </c>
      <c r="K20" s="30" t="s">
        <v>34</v>
      </c>
      <c r="M20" s="35" t="s">
        <v>66</v>
      </c>
      <c r="N20" s="10">
        <f>COUNTIF(C3:F33,M20)</f>
        <v>5</v>
      </c>
      <c r="O20" s="10">
        <f>COUNTIF(G3:J33,M20)</f>
        <v>5</v>
      </c>
      <c r="P20" s="11">
        <f>COUNTIF(K3:K33,M20)</f>
        <v>0</v>
      </c>
      <c r="Q20" s="10">
        <f t="shared" si="2"/>
        <v>10</v>
      </c>
      <c r="R20" s="10">
        <f>IFERROR(IF(VLOOKUP(M20,M35:T47,8,FALSE)="",D37,VLOOKUP(M20,M35:T47,8,FALSE)),NETWORKDAYS.INTL(A3,DATE(YEAR(A3),MONTH(A3)+1,1)-1,1,Sayfa2!C2:C30)*7)</f>
        <v>119</v>
      </c>
      <c r="S20" s="14">
        <f t="shared" si="3"/>
        <v>120</v>
      </c>
      <c r="T20" s="36">
        <f t="shared" si="4"/>
        <v>1</v>
      </c>
    </row>
    <row r="21" spans="1:20" x14ac:dyDescent="0.25">
      <c r="A21" s="25">
        <f t="shared" si="1"/>
        <v>45857</v>
      </c>
      <c r="B21" s="66" t="str">
        <f t="shared" si="0"/>
        <v>Cumartesi</v>
      </c>
      <c r="C21" s="47" t="s">
        <v>26</v>
      </c>
      <c r="D21" s="48" t="s">
        <v>31</v>
      </c>
      <c r="E21" s="48" t="s">
        <v>23</v>
      </c>
      <c r="F21" s="49" t="s">
        <v>66</v>
      </c>
      <c r="G21" s="50" t="s">
        <v>26</v>
      </c>
      <c r="H21" s="48" t="s">
        <v>31</v>
      </c>
      <c r="I21" s="48" t="s">
        <v>23</v>
      </c>
      <c r="J21" s="49" t="s">
        <v>66</v>
      </c>
      <c r="K21" s="30" t="s">
        <v>75</v>
      </c>
      <c r="M21" s="35" t="s">
        <v>75</v>
      </c>
      <c r="N21" s="10">
        <f>COUNTIF(C3:F33,M21)</f>
        <v>3</v>
      </c>
      <c r="O21" s="10">
        <f>COUNTIF(G3:J33,M21)</f>
        <v>4</v>
      </c>
      <c r="P21" s="11">
        <f>COUNTIF(K3:K33,M21)</f>
        <v>2</v>
      </c>
      <c r="Q21" s="10">
        <f t="shared" si="2"/>
        <v>9</v>
      </c>
      <c r="R21" s="10">
        <f>IFERROR(IF(VLOOKUP(M21,M35:T47,8,FALSE)="",D37,VLOOKUP(M21,M35:T47,8,FALSE)),NETWORKDAYS.INTL(A3,DATE(YEAR(A3),MONTH(A3)+1,1)-1,1,Sayfa2!C2:C30)*7)</f>
        <v>77</v>
      </c>
      <c r="S21" s="14">
        <f t="shared" si="3"/>
        <v>98</v>
      </c>
      <c r="T21" s="36">
        <f t="shared" si="4"/>
        <v>21</v>
      </c>
    </row>
    <row r="22" spans="1:20" x14ac:dyDescent="0.25">
      <c r="A22" s="25">
        <f t="shared" si="1"/>
        <v>45858</v>
      </c>
      <c r="B22" s="66" t="str">
        <f t="shared" si="0"/>
        <v>Pazar</v>
      </c>
      <c r="C22" s="47" t="s">
        <v>68</v>
      </c>
      <c r="D22" s="48" t="s">
        <v>29</v>
      </c>
      <c r="E22" s="48" t="s">
        <v>70</v>
      </c>
      <c r="F22" s="49" t="s">
        <v>32</v>
      </c>
      <c r="G22" s="50" t="s">
        <v>22</v>
      </c>
      <c r="H22" s="48" t="s">
        <v>29</v>
      </c>
      <c r="I22" s="48" t="s">
        <v>70</v>
      </c>
      <c r="J22" s="49" t="s">
        <v>32</v>
      </c>
      <c r="K22" s="30" t="s">
        <v>75</v>
      </c>
      <c r="M22" s="35" t="s">
        <v>70</v>
      </c>
      <c r="N22" s="10">
        <f>COUNTIF(C3:F33,M22)</f>
        <v>8</v>
      </c>
      <c r="O22" s="10">
        <f>COUNTIF(G3:J34,M22)</f>
        <v>8</v>
      </c>
      <c r="P22" s="11">
        <f>COUNTIF(K3:K33,M22)</f>
        <v>0</v>
      </c>
      <c r="Q22" s="10">
        <f t="shared" ref="Q22" si="5">((N22+O22)+P22)</f>
        <v>16</v>
      </c>
      <c r="R22" s="10">
        <f>IFERROR(IF(VLOOKUP(M22,M35:T47,8,FALSE)="",D37,VLOOKUP(M22,M35:T47,8,FALSE)),NETWORKDAYS.INTL(A3,DATE(YEAR(A3),MONTH(A3)+1,1)-1,1,Sayfa2!C2:C30)*7)</f>
        <v>154</v>
      </c>
      <c r="S22" s="14">
        <f t="shared" si="3"/>
        <v>192</v>
      </c>
      <c r="T22" s="36">
        <f t="shared" si="4"/>
        <v>38</v>
      </c>
    </row>
    <row r="23" spans="1:20" x14ac:dyDescent="0.25">
      <c r="A23" s="25">
        <f t="shared" si="1"/>
        <v>45859</v>
      </c>
      <c r="B23" s="66" t="str">
        <f t="shared" si="0"/>
        <v>Pazartesi</v>
      </c>
      <c r="C23" s="47" t="s">
        <v>75</v>
      </c>
      <c r="D23" s="48" t="s">
        <v>24</v>
      </c>
      <c r="E23" s="48" t="s">
        <v>23</v>
      </c>
      <c r="F23" s="49" t="s">
        <v>20</v>
      </c>
      <c r="G23" s="50" t="s">
        <v>75</v>
      </c>
      <c r="H23" s="48" t="s">
        <v>24</v>
      </c>
      <c r="I23" s="48" t="s">
        <v>23</v>
      </c>
      <c r="J23" s="49" t="s">
        <v>20</v>
      </c>
      <c r="K23" s="30" t="s">
        <v>34</v>
      </c>
      <c r="M23" s="35" t="s">
        <v>74</v>
      </c>
      <c r="N23" s="10">
        <f>COUNTIF(C3:F33,M23)</f>
        <v>8</v>
      </c>
      <c r="O23" s="10">
        <f>COUNTIF(G3:J33,M23)</f>
        <v>7</v>
      </c>
      <c r="P23" s="11">
        <f>COUNTIF(K3:K33,M23)</f>
        <v>1</v>
      </c>
      <c r="Q23" s="10">
        <f t="shared" si="2"/>
        <v>16</v>
      </c>
      <c r="R23" s="10">
        <f>IFERROR(IF(VLOOKUP(M23,M35:T47,8,FALSE)="",D37,VLOOKUP(M23,M35:T47,8,FALSE)),NETWORKDAYS.INTL(A3,DATE(YEAR(A3),MONTH(A3)+1,1)-1,1,Sayfa2!C2:C30)*7)</f>
        <v>154</v>
      </c>
      <c r="S23" s="14">
        <f t="shared" si="3"/>
        <v>187</v>
      </c>
      <c r="T23" s="36">
        <f t="shared" si="4"/>
        <v>33</v>
      </c>
    </row>
    <row r="24" spans="1:20" x14ac:dyDescent="0.25">
      <c r="A24" s="25">
        <f t="shared" si="1"/>
        <v>45860</v>
      </c>
      <c r="B24" s="66" t="str">
        <f t="shared" si="0"/>
        <v>Salı</v>
      </c>
      <c r="C24" s="47" t="s">
        <v>27</v>
      </c>
      <c r="D24" s="48" t="s">
        <v>29</v>
      </c>
      <c r="E24" s="48" t="s">
        <v>74</v>
      </c>
      <c r="F24" s="49" t="s">
        <v>33</v>
      </c>
      <c r="G24" s="50" t="s">
        <v>27</v>
      </c>
      <c r="H24" s="48" t="s">
        <v>29</v>
      </c>
      <c r="I24" s="48" t="s">
        <v>74</v>
      </c>
      <c r="J24" s="49" t="s">
        <v>33</v>
      </c>
      <c r="K24" s="30" t="s">
        <v>34</v>
      </c>
      <c r="M24" s="35" t="s">
        <v>68</v>
      </c>
      <c r="N24" s="10">
        <f>COUNTIF(C3:F33,M24)</f>
        <v>2</v>
      </c>
      <c r="O24" s="10">
        <f>COUNTIF(G3:J33,M24)</f>
        <v>0</v>
      </c>
      <c r="P24" s="11">
        <f>COUNTIF(K3:K33,M24)</f>
        <v>0</v>
      </c>
      <c r="Q24" s="10">
        <f t="shared" si="2"/>
        <v>2</v>
      </c>
      <c r="R24" s="10">
        <f>IFERROR(IF(VLOOKUP(M24,M35:T47,8,FALSE)="",D37,VLOOKUP(M24,M35:T47,8,FALSE)),NETWORKDAYS.INTL(A3,DATE(YEAR(A3),MONTH(A3)+1,1)-1,1,Sayfa2!C2:C30)*7)</f>
        <v>154</v>
      </c>
      <c r="S24" s="14">
        <f t="shared" si="3"/>
        <v>24</v>
      </c>
      <c r="T24" s="36">
        <f t="shared" si="4"/>
        <v>0</v>
      </c>
    </row>
    <row r="25" spans="1:20" x14ac:dyDescent="0.25">
      <c r="A25" s="25">
        <f t="shared" si="1"/>
        <v>45861</v>
      </c>
      <c r="B25" s="66" t="str">
        <f t="shared" si="0"/>
        <v>Çarşamba</v>
      </c>
      <c r="C25" s="47" t="s">
        <v>21</v>
      </c>
      <c r="D25" s="48" t="s">
        <v>24</v>
      </c>
      <c r="E25" s="48" t="s">
        <v>23</v>
      </c>
      <c r="F25" s="49" t="s">
        <v>75</v>
      </c>
      <c r="G25" s="50" t="s">
        <v>21</v>
      </c>
      <c r="H25" s="48" t="s">
        <v>24</v>
      </c>
      <c r="I25" s="48" t="s">
        <v>23</v>
      </c>
      <c r="J25" s="49" t="s">
        <v>75</v>
      </c>
      <c r="K25" s="30" t="s">
        <v>34</v>
      </c>
      <c r="M25" s="35" t="s">
        <v>34</v>
      </c>
      <c r="N25" s="10">
        <f>COUNTIF(C3:F33,M25)</f>
        <v>0</v>
      </c>
      <c r="O25" s="10">
        <f>COUNTIF(G3:J33,M25)</f>
        <v>0</v>
      </c>
      <c r="P25" s="11">
        <f>COUNTIF(K3:K33,M25)</f>
        <v>22</v>
      </c>
      <c r="Q25" s="10">
        <f t="shared" si="2"/>
        <v>22</v>
      </c>
      <c r="R25" s="10">
        <f>IFERROR(IF(VLOOKUP(M25,M35:T47,8,FALSE)="",D37,VLOOKUP(M25,M35:T47,8,FALSE)),NETWORKDAYS.INTL(A3,DATE(YEAR(A3),MONTH(A3)+1,1)-1,1,Sayfa2!C2:C30)*7)</f>
        <v>154</v>
      </c>
      <c r="S25" s="14">
        <f t="shared" si="3"/>
        <v>154</v>
      </c>
      <c r="T25" s="36">
        <f t="shared" si="4"/>
        <v>0</v>
      </c>
    </row>
    <row r="26" spans="1:20" x14ac:dyDescent="0.25">
      <c r="A26" s="25">
        <f t="shared" si="1"/>
        <v>45862</v>
      </c>
      <c r="B26" s="66" t="str">
        <f t="shared" si="0"/>
        <v>Perşembe</v>
      </c>
      <c r="C26" s="47" t="s">
        <v>28</v>
      </c>
      <c r="D26" s="48" t="s">
        <v>31</v>
      </c>
      <c r="E26" s="48" t="s">
        <v>70</v>
      </c>
      <c r="F26" s="49" t="s">
        <v>35</v>
      </c>
      <c r="G26" s="50" t="s">
        <v>28</v>
      </c>
      <c r="H26" s="48" t="s">
        <v>31</v>
      </c>
      <c r="I26" s="48" t="s">
        <v>70</v>
      </c>
      <c r="J26" s="49" t="s">
        <v>35</v>
      </c>
      <c r="K26" s="30" t="s">
        <v>34</v>
      </c>
      <c r="M26" s="35"/>
      <c r="N26" s="10">
        <f>COUNTIF(C3:F33,M26)</f>
        <v>0</v>
      </c>
      <c r="O26" s="10">
        <f>COUNTIF(G3:J33,M26)</f>
        <v>0</v>
      </c>
      <c r="P26" s="11">
        <f>COUNTIF(K3:K33,M26)</f>
        <v>0</v>
      </c>
      <c r="Q26" s="10">
        <f t="shared" si="2"/>
        <v>0</v>
      </c>
      <c r="R26" s="10">
        <f>IFERROR(IF(VLOOKUP(M26,M35:T47,8,FALSE)="",D37,VLOOKUP(M26,M35:T47,8,FALSE)),NETWORKDAYS.INTL(A3,DATE(YEAR(A3),MONTH(A3)+1,1)-1,1,Sayfa2!C2:C30)*7)</f>
        <v>154</v>
      </c>
      <c r="S26" s="14">
        <f t="shared" si="3"/>
        <v>0</v>
      </c>
      <c r="T26" s="36">
        <f t="shared" si="4"/>
        <v>0</v>
      </c>
    </row>
    <row r="27" spans="1:20" x14ac:dyDescent="0.25">
      <c r="A27" s="25">
        <f t="shared" si="1"/>
        <v>45863</v>
      </c>
      <c r="B27" s="66" t="str">
        <f t="shared" si="0"/>
        <v>Cuma</v>
      </c>
      <c r="C27" s="47" t="s">
        <v>22</v>
      </c>
      <c r="D27" s="48" t="s">
        <v>24</v>
      </c>
      <c r="E27" s="48" t="s">
        <v>23</v>
      </c>
      <c r="F27" s="49" t="s">
        <v>29</v>
      </c>
      <c r="G27" s="50" t="s">
        <v>22</v>
      </c>
      <c r="H27" s="48" t="s">
        <v>24</v>
      </c>
      <c r="I27" s="48" t="s">
        <v>23</v>
      </c>
      <c r="J27" s="49" t="s">
        <v>29</v>
      </c>
      <c r="K27" s="30" t="s">
        <v>34</v>
      </c>
      <c r="M27" s="35"/>
      <c r="N27" s="10">
        <f>COUNTIF(C3:F33,M27)</f>
        <v>0</v>
      </c>
      <c r="O27" s="10">
        <f>COUNTIF(G3:J33,M27)</f>
        <v>0</v>
      </c>
      <c r="P27" s="11">
        <f>COUNTIF(K3:K33,M27)</f>
        <v>0</v>
      </c>
      <c r="Q27" s="10">
        <f t="shared" si="2"/>
        <v>0</v>
      </c>
      <c r="R27" s="10">
        <f>IFERROR(IF(VLOOKUP(M27,M35:T47,8,FALSE)="",D37,VLOOKUP(M27,M35:T47,8,FALSE)),NETWORKDAYS.INTL(A3,DATE(YEAR(A3),MONTH(A3)+1,1)-1,1,Sayfa2!C2:C30)*7)</f>
        <v>154</v>
      </c>
      <c r="S27" s="10">
        <f t="shared" si="3"/>
        <v>0</v>
      </c>
      <c r="T27" s="36">
        <f t="shared" si="4"/>
        <v>0</v>
      </c>
    </row>
    <row r="28" spans="1:20" ht="15.75" thickBot="1" x14ac:dyDescent="0.3">
      <c r="A28" s="25">
        <f t="shared" si="1"/>
        <v>45864</v>
      </c>
      <c r="B28" s="66" t="str">
        <f t="shared" si="0"/>
        <v>Cumartesi</v>
      </c>
      <c r="C28" s="47" t="s">
        <v>26</v>
      </c>
      <c r="D28" s="48" t="s">
        <v>33</v>
      </c>
      <c r="E28" s="48" t="s">
        <v>74</v>
      </c>
      <c r="F28" s="49" t="s">
        <v>70</v>
      </c>
      <c r="G28" s="50" t="s">
        <v>26</v>
      </c>
      <c r="H28" s="48" t="s">
        <v>33</v>
      </c>
      <c r="I28" s="48" t="s">
        <v>74</v>
      </c>
      <c r="J28" s="49" t="s">
        <v>70</v>
      </c>
      <c r="K28" s="30" t="s">
        <v>20</v>
      </c>
      <c r="M28" s="62"/>
      <c r="N28" s="63">
        <f>COUNTIF(C4:F34,M28)</f>
        <v>0</v>
      </c>
      <c r="O28" s="63">
        <f>COUNTIF(G4:J34,M28)</f>
        <v>0</v>
      </c>
      <c r="P28" s="64">
        <f>COUNTIF(K4:K34,M28)</f>
        <v>0</v>
      </c>
      <c r="Q28" s="63">
        <f t="shared" ref="Q28" si="6">((N28+O28)+P28)</f>
        <v>0</v>
      </c>
      <c r="R28" s="63">
        <f>IFERROR(IF(VLOOKUP(M28,M35:T47,8,FALSE)="",D37,VLOOKUP(M28,M35:T47,8,FALSE)),NETWORKDAYS.INTL(A3,DATE(YEAR(A$3),MONTH(A3)+1,1)-1,1,Sayfa2!C2:C31)*7)</f>
        <v>154</v>
      </c>
      <c r="S28" s="63">
        <f t="shared" ref="S28" si="7">(N28*12)+(O28*12)+(P28*7)</f>
        <v>0</v>
      </c>
      <c r="T28" s="65">
        <f t="shared" ref="T28" si="8">IF(S28-R28&lt;0,0,(S28-R28))</f>
        <v>0</v>
      </c>
    </row>
    <row r="29" spans="1:20" x14ac:dyDescent="0.25">
      <c r="A29" s="25">
        <f t="shared" si="1"/>
        <v>45865</v>
      </c>
      <c r="B29" s="66" t="str">
        <f t="shared" si="0"/>
        <v>Pazar</v>
      </c>
      <c r="C29" s="47" t="s">
        <v>66</v>
      </c>
      <c r="D29" s="48" t="s">
        <v>32</v>
      </c>
      <c r="E29" s="48" t="s">
        <v>23</v>
      </c>
      <c r="F29" s="49" t="s">
        <v>28</v>
      </c>
      <c r="G29" s="50" t="s">
        <v>66</v>
      </c>
      <c r="H29" s="48" t="s">
        <v>32</v>
      </c>
      <c r="I29" s="48" t="s">
        <v>23</v>
      </c>
      <c r="J29" s="49" t="s">
        <v>28</v>
      </c>
      <c r="K29" s="30" t="s">
        <v>21</v>
      </c>
    </row>
    <row r="30" spans="1:20" ht="15" customHeight="1" x14ac:dyDescent="0.25">
      <c r="A30" s="25">
        <f t="shared" si="1"/>
        <v>45866</v>
      </c>
      <c r="B30" s="66" t="str">
        <f t="shared" si="0"/>
        <v>Pazartesi</v>
      </c>
      <c r="C30" s="47" t="s">
        <v>33</v>
      </c>
      <c r="D30" s="48" t="s">
        <v>29</v>
      </c>
      <c r="E30" s="48" t="s">
        <v>74</v>
      </c>
      <c r="F30" s="49" t="s">
        <v>20</v>
      </c>
      <c r="G30" s="50" t="s">
        <v>33</v>
      </c>
      <c r="H30" s="48" t="s">
        <v>29</v>
      </c>
      <c r="I30" s="48" t="s">
        <v>74</v>
      </c>
      <c r="J30" s="49" t="s">
        <v>20</v>
      </c>
      <c r="K30" s="30" t="s">
        <v>34</v>
      </c>
    </row>
    <row r="31" spans="1:20" ht="15.75" thickBot="1" x14ac:dyDescent="0.3">
      <c r="A31" s="25">
        <f t="shared" si="1"/>
        <v>45867</v>
      </c>
      <c r="B31" s="66" t="str">
        <f t="shared" si="0"/>
        <v>Salı</v>
      </c>
      <c r="C31" s="47" t="s">
        <v>27</v>
      </c>
      <c r="D31" s="48" t="s">
        <v>26</v>
      </c>
      <c r="E31" s="48" t="s">
        <v>70</v>
      </c>
      <c r="F31" s="49" t="s">
        <v>23</v>
      </c>
      <c r="G31" s="50" t="s">
        <v>27</v>
      </c>
      <c r="H31" s="48" t="s">
        <v>26</v>
      </c>
      <c r="I31" s="48" t="s">
        <v>70</v>
      </c>
      <c r="J31" s="49" t="s">
        <v>23</v>
      </c>
      <c r="K31" s="30" t="s">
        <v>34</v>
      </c>
    </row>
    <row r="32" spans="1:20" x14ac:dyDescent="0.25">
      <c r="A32" s="25">
        <f t="shared" si="1"/>
        <v>45868</v>
      </c>
      <c r="B32" s="66" t="str">
        <f t="shared" si="0"/>
        <v>Çarşamba</v>
      </c>
      <c r="C32" s="47" t="s">
        <v>21</v>
      </c>
      <c r="D32" s="48" t="s">
        <v>30</v>
      </c>
      <c r="E32" s="48" t="s">
        <v>32</v>
      </c>
      <c r="F32" s="49" t="s">
        <v>33</v>
      </c>
      <c r="G32" s="50" t="s">
        <v>21</v>
      </c>
      <c r="H32" s="48" t="s">
        <v>30</v>
      </c>
      <c r="I32" s="48" t="s">
        <v>32</v>
      </c>
      <c r="J32" s="49" t="s">
        <v>33</v>
      </c>
      <c r="K32" s="30" t="s">
        <v>34</v>
      </c>
      <c r="M32" s="78" t="s">
        <v>63</v>
      </c>
      <c r="N32" s="79"/>
      <c r="O32" s="79"/>
      <c r="P32" s="79"/>
      <c r="Q32" s="79"/>
      <c r="R32" s="79"/>
      <c r="S32" s="79"/>
      <c r="T32" s="80"/>
    </row>
    <row r="33" spans="1:22" ht="15.75" thickBot="1" x14ac:dyDescent="0.3">
      <c r="A33" s="26">
        <f t="shared" si="1"/>
        <v>45869</v>
      </c>
      <c r="B33" s="67" t="str">
        <f t="shared" si="0"/>
        <v>Perşembe</v>
      </c>
      <c r="C33" s="52" t="s">
        <v>26</v>
      </c>
      <c r="D33" s="53" t="s">
        <v>29</v>
      </c>
      <c r="E33" s="53" t="s">
        <v>25</v>
      </c>
      <c r="F33" s="54" t="s">
        <v>74</v>
      </c>
      <c r="G33" s="55" t="s">
        <v>26</v>
      </c>
      <c r="H33" s="53" t="s">
        <v>29</v>
      </c>
      <c r="I33" s="53" t="s">
        <v>25</v>
      </c>
      <c r="J33" s="54" t="s">
        <v>75</v>
      </c>
      <c r="K33" s="31" t="s">
        <v>34</v>
      </c>
      <c r="M33" s="74" t="s">
        <v>60</v>
      </c>
      <c r="N33" s="72" t="s">
        <v>61</v>
      </c>
      <c r="O33" s="72"/>
      <c r="P33" s="70" t="s">
        <v>62</v>
      </c>
      <c r="Q33" s="70" t="s">
        <v>67</v>
      </c>
      <c r="R33" s="85" t="s">
        <v>73</v>
      </c>
      <c r="S33" s="83" t="s">
        <v>64</v>
      </c>
      <c r="T33" s="68" t="s">
        <v>65</v>
      </c>
    </row>
    <row r="34" spans="1:22" ht="15" customHeight="1" thickBot="1" x14ac:dyDescent="0.3">
      <c r="A34" s="1"/>
      <c r="B34" s="3"/>
      <c r="M34" s="75"/>
      <c r="N34" s="73"/>
      <c r="O34" s="73"/>
      <c r="P34" s="71"/>
      <c r="Q34" s="71"/>
      <c r="R34" s="86"/>
      <c r="S34" s="84"/>
      <c r="T34" s="69"/>
    </row>
    <row r="35" spans="1:22" ht="15" customHeight="1" thickBot="1" x14ac:dyDescent="0.3">
      <c r="M35" s="56" t="s">
        <v>24</v>
      </c>
      <c r="N35" s="102">
        <v>45839</v>
      </c>
      <c r="O35" s="103"/>
      <c r="P35" s="57">
        <v>14</v>
      </c>
      <c r="Q35" s="58">
        <f>N35+P35</f>
        <v>45853</v>
      </c>
      <c r="R35" s="59"/>
      <c r="S35" s="60">
        <f>D36-NETWORKDAYS.INTL(N35,Q35,1,Sayfa2!C2:C29)</f>
        <v>12</v>
      </c>
      <c r="T35" s="61">
        <f>S35*7</f>
        <v>84</v>
      </c>
      <c r="V35" s="6"/>
    </row>
    <row r="36" spans="1:22" ht="15" customHeight="1" x14ac:dyDescent="0.25">
      <c r="A36" s="104" t="s">
        <v>36</v>
      </c>
      <c r="B36" s="105"/>
      <c r="C36" s="105"/>
      <c r="D36" s="27">
        <f>NETWORKDAYS.INTL(A3,DATE(YEAR(A3),MONTH(A3)+1,1)-1,1,Sayfa2!C2:C30)</f>
        <v>22</v>
      </c>
      <c r="M36" s="15" t="s">
        <v>12</v>
      </c>
      <c r="N36" s="100">
        <v>45848</v>
      </c>
      <c r="O36" s="101"/>
      <c r="P36" s="7">
        <v>15</v>
      </c>
      <c r="Q36" s="5">
        <f t="shared" ref="Q36:Q44" si="9">N36+P36</f>
        <v>45863</v>
      </c>
      <c r="R36" s="11"/>
      <c r="S36" s="4">
        <f>D36-NETWORKDAYS.INTL(N36,Q36,1,Sayfa2!C2:C30)</f>
        <v>11</v>
      </c>
      <c r="T36" s="16">
        <f t="shared" ref="T36:T41" si="10">S36*7</f>
        <v>77</v>
      </c>
      <c r="V36" s="6"/>
    </row>
    <row r="37" spans="1:22" ht="15" customHeight="1" thickBot="1" x14ac:dyDescent="0.3">
      <c r="A37" s="106" t="s">
        <v>57</v>
      </c>
      <c r="B37" s="107"/>
      <c r="C37" s="107"/>
      <c r="D37" s="21">
        <f>D36*7</f>
        <v>154</v>
      </c>
      <c r="M37" s="15" t="s">
        <v>22</v>
      </c>
      <c r="N37" s="100">
        <v>45865</v>
      </c>
      <c r="O37" s="101"/>
      <c r="P37" s="7">
        <v>3</v>
      </c>
      <c r="Q37" s="5">
        <f t="shared" si="9"/>
        <v>45868</v>
      </c>
      <c r="R37" s="11"/>
      <c r="S37" s="4">
        <f>D36-NETWORKDAYS.INTL(N37,Q37,1,Sayfa2!C2:C30)</f>
        <v>19</v>
      </c>
      <c r="T37" s="16">
        <f t="shared" si="10"/>
        <v>133</v>
      </c>
      <c r="V37" s="6"/>
    </row>
    <row r="38" spans="1:22" ht="15" customHeight="1" x14ac:dyDescent="0.25">
      <c r="M38" s="15" t="s">
        <v>21</v>
      </c>
      <c r="N38" s="100">
        <v>45839</v>
      </c>
      <c r="O38" s="101"/>
      <c r="P38" s="7">
        <v>10</v>
      </c>
      <c r="Q38" s="5">
        <f t="shared" si="9"/>
        <v>45849</v>
      </c>
      <c r="R38" s="11"/>
      <c r="S38" s="4">
        <f>D36-NETWORKDAYS.INTL(N38,Q38,1,Sayfa2!C2:C31)</f>
        <v>13</v>
      </c>
      <c r="T38" s="16">
        <f t="shared" si="10"/>
        <v>91</v>
      </c>
      <c r="U38" s="6"/>
      <c r="V38" s="6"/>
    </row>
    <row r="39" spans="1:22" ht="15" customHeight="1" x14ac:dyDescent="0.25">
      <c r="M39" s="15" t="s">
        <v>75</v>
      </c>
      <c r="N39" s="100">
        <v>45839</v>
      </c>
      <c r="O39" s="101"/>
      <c r="P39" s="7">
        <v>15</v>
      </c>
      <c r="Q39" s="5">
        <f t="shared" si="9"/>
        <v>45854</v>
      </c>
      <c r="R39" s="11"/>
      <c r="S39" s="4">
        <f>D36-NETWORKDAYS.INTL(N39,Q39,1,Sayfa2!C2:C32)</f>
        <v>11</v>
      </c>
      <c r="T39" s="16">
        <f t="shared" ref="T39" si="11">S39*7</f>
        <v>77</v>
      </c>
      <c r="U39" s="6"/>
      <c r="V39" s="6"/>
    </row>
    <row r="40" spans="1:22" ht="15" customHeight="1" x14ac:dyDescent="0.25">
      <c r="M40" s="15" t="s">
        <v>66</v>
      </c>
      <c r="N40" s="100">
        <v>45857</v>
      </c>
      <c r="O40" s="101"/>
      <c r="P40" s="7">
        <v>7</v>
      </c>
      <c r="Q40" s="5">
        <f>N40+P40</f>
        <v>45864</v>
      </c>
      <c r="R40" s="11"/>
      <c r="S40" s="4">
        <f>D36-NETWORKDAYS.INTL(N40,Q40,1,Sayfa2!C2:C29)</f>
        <v>17</v>
      </c>
      <c r="T40" s="16">
        <f t="shared" si="10"/>
        <v>119</v>
      </c>
      <c r="U40" s="6"/>
      <c r="V40" s="6"/>
    </row>
    <row r="41" spans="1:22" ht="15" customHeight="1" x14ac:dyDescent="0.25">
      <c r="M41" s="15"/>
      <c r="N41" s="100"/>
      <c r="O41" s="101"/>
      <c r="P41" s="7"/>
      <c r="Q41" s="5">
        <f t="shared" si="9"/>
        <v>0</v>
      </c>
      <c r="R41" s="11"/>
      <c r="S41" s="4">
        <f>D36-NETWORKDAYS.INTL(N41,Q41,1,Sayfa2!C2:C34)</f>
        <v>22</v>
      </c>
      <c r="T41" s="16">
        <f t="shared" si="10"/>
        <v>154</v>
      </c>
      <c r="U41" s="6"/>
    </row>
    <row r="42" spans="1:22" x14ac:dyDescent="0.25">
      <c r="M42" s="15"/>
      <c r="N42" s="100"/>
      <c r="O42" s="101"/>
      <c r="P42" s="7"/>
      <c r="Q42" s="5">
        <f t="shared" si="9"/>
        <v>0</v>
      </c>
      <c r="R42" s="11"/>
      <c r="S42" s="4">
        <f>D36-NETWORKDAYS.INTL(N42,Q42,1,Sayfa2!C2:C35)</f>
        <v>22</v>
      </c>
      <c r="T42" s="16">
        <f t="shared" ref="T42:T43" si="12">S42*7</f>
        <v>154</v>
      </c>
      <c r="U42" s="6"/>
      <c r="V42" s="6"/>
    </row>
    <row r="43" spans="1:22" x14ac:dyDescent="0.25">
      <c r="M43" s="15"/>
      <c r="N43" s="100"/>
      <c r="O43" s="101"/>
      <c r="P43" s="7"/>
      <c r="Q43" s="5">
        <f t="shared" si="9"/>
        <v>0</v>
      </c>
      <c r="R43" s="11"/>
      <c r="S43" s="4">
        <f>D36-NETWORKDAYS.INTL(N43,Q43,1,Sayfa2!C2:C36)</f>
        <v>22</v>
      </c>
      <c r="T43" s="16">
        <f t="shared" si="12"/>
        <v>154</v>
      </c>
      <c r="U43" s="6"/>
      <c r="V43" s="6"/>
    </row>
    <row r="44" spans="1:22" x14ac:dyDescent="0.25">
      <c r="M44" s="15"/>
      <c r="N44" s="100"/>
      <c r="O44" s="101"/>
      <c r="P44" s="39"/>
      <c r="Q44" s="40">
        <f t="shared" si="9"/>
        <v>0</v>
      </c>
      <c r="R44" s="38"/>
      <c r="S44" s="4">
        <f>D36-NETWORKDAYS.INTL(N44,Q44,1,Sayfa2!C2:C37)</f>
        <v>22</v>
      </c>
      <c r="T44" s="16">
        <f t="shared" ref="T44" si="13">S44*7</f>
        <v>154</v>
      </c>
      <c r="V44" s="6"/>
    </row>
    <row r="45" spans="1:22" x14ac:dyDescent="0.25">
      <c r="M45" s="15" t="s">
        <v>30</v>
      </c>
      <c r="N45" s="100"/>
      <c r="O45" s="101"/>
      <c r="P45" s="7"/>
      <c r="Q45" s="5">
        <f>N45+P45</f>
        <v>0</v>
      </c>
      <c r="R45" s="11" t="s">
        <v>71</v>
      </c>
      <c r="S45" s="4">
        <f>D36-NETWORKDAYS.INTL(N45,Q45,1,Sayfa2!C2:C35)</f>
        <v>22</v>
      </c>
      <c r="T45" s="16">
        <f>(S45*7)-U45</f>
        <v>136.4</v>
      </c>
      <c r="U45" s="6">
        <f>(S45/5)*4</f>
        <v>17.600000000000001</v>
      </c>
      <c r="V45" s="6"/>
    </row>
    <row r="46" spans="1:22" x14ac:dyDescent="0.25">
      <c r="M46" s="15" t="s">
        <v>31</v>
      </c>
      <c r="N46" s="100"/>
      <c r="O46" s="101"/>
      <c r="P46" s="7"/>
      <c r="Q46" s="5">
        <f>N46+P46</f>
        <v>0</v>
      </c>
      <c r="R46" s="11" t="s">
        <v>72</v>
      </c>
      <c r="S46" s="4">
        <f>D36-NETWORKDAYS.INTL(N46,Q46,1,Sayfa2!C2:C36)</f>
        <v>22</v>
      </c>
      <c r="T46" s="16">
        <f>(S46*7)-U46</f>
        <v>121</v>
      </c>
      <c r="U46" s="6">
        <f>S46*1.5</f>
        <v>33</v>
      </c>
      <c r="V46" s="6"/>
    </row>
    <row r="47" spans="1:22" ht="15.75" thickBot="1" x14ac:dyDescent="0.3">
      <c r="M47" s="17" t="s">
        <v>35</v>
      </c>
      <c r="N47" s="98"/>
      <c r="O47" s="99"/>
      <c r="P47" s="18"/>
      <c r="Q47" s="19">
        <f>N47+P47</f>
        <v>0</v>
      </c>
      <c r="R47" s="37" t="s">
        <v>72</v>
      </c>
      <c r="S47" s="20">
        <f>D36-NETWORKDAYS.INTL(N47,Q47,1,Sayfa2!C2:C37)</f>
        <v>22</v>
      </c>
      <c r="T47" s="21">
        <f>(S47*7)-U47</f>
        <v>121</v>
      </c>
      <c r="U47" s="6">
        <f>S47*1.5</f>
        <v>33</v>
      </c>
    </row>
  </sheetData>
  <sheetProtection formatCells="0" formatColumns="0"/>
  <mergeCells count="34">
    <mergeCell ref="N35:O35"/>
    <mergeCell ref="N36:O36"/>
    <mergeCell ref="N37:O37"/>
    <mergeCell ref="N38:O38"/>
    <mergeCell ref="A36:C36"/>
    <mergeCell ref="A37:C37"/>
    <mergeCell ref="N47:O47"/>
    <mergeCell ref="N39:O39"/>
    <mergeCell ref="N40:O40"/>
    <mergeCell ref="N42:O42"/>
    <mergeCell ref="N45:O45"/>
    <mergeCell ref="N46:O46"/>
    <mergeCell ref="N44:O44"/>
    <mergeCell ref="N43:O43"/>
    <mergeCell ref="N41:O41"/>
    <mergeCell ref="C2:F2"/>
    <mergeCell ref="G2:J2"/>
    <mergeCell ref="A1:K1"/>
    <mergeCell ref="M1:M3"/>
    <mergeCell ref="S1:S3"/>
    <mergeCell ref="R1:R3"/>
    <mergeCell ref="Q1:Q3"/>
    <mergeCell ref="T33:T34"/>
    <mergeCell ref="P33:P34"/>
    <mergeCell ref="N33:O34"/>
    <mergeCell ref="M33:M34"/>
    <mergeCell ref="P1:P3"/>
    <mergeCell ref="M32:T32"/>
    <mergeCell ref="N1:N3"/>
    <mergeCell ref="O1:O3"/>
    <mergeCell ref="T1:T3"/>
    <mergeCell ref="Q33:Q34"/>
    <mergeCell ref="S33:S34"/>
    <mergeCell ref="R33:R34"/>
  </mergeCells>
  <conditionalFormatting sqref="A3:K33">
    <cfRule type="expression" dxfId="3" priority="20">
      <formula>$B3="Pazar"</formula>
    </cfRule>
    <cfRule type="expression" dxfId="2" priority="21">
      <formula>$B3="Cumartesi"</formula>
    </cfRule>
  </conditionalFormatting>
  <conditionalFormatting sqref="M4:T28">
    <cfRule type="expression" dxfId="1" priority="15">
      <formula>$T4&gt;8</formula>
    </cfRule>
    <cfRule type="expression" dxfId="0" priority="17">
      <formula>$T4&lt;&gt;0</formula>
    </cfRule>
  </conditionalFormatting>
  <dataValidations count="2">
    <dataValidation type="list" allowBlank="1" showInputMessage="1" showErrorMessage="1" sqref="M35:M47 C33:J33" xr:uid="{00000000-0002-0000-0100-000000000000}">
      <formula1>$M$4:$M$27</formula1>
    </dataValidation>
    <dataValidation type="list" allowBlank="1" showInputMessage="1" showErrorMessage="1" sqref="C3:K32 K33" xr:uid="{3FCC2556-47BC-44F2-92A5-E834F634322F}">
      <formula1>$M$4:$M$28</formula1>
    </dataValidation>
  </dataValidations>
  <pageMargins left="0.7" right="0.7" top="0.75" bottom="0.75" header="0.3" footer="0.3"/>
  <pageSetup paperSize="9" orientation="portrait" horizontalDpi="300" verticalDpi="300" r:id="rId1"/>
  <ignoredErrors>
    <ignoredError sqref="A3:B32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781AC897-E3DD-4146-95C1-35B436B5934A}">
            <xm:f>COUNTIF(Sayfa2!$C$2:$C$31,$A3)&gt;0</xm:f>
            <x14:dxf>
              <font>
                <b/>
                <i val="0"/>
              </font>
              <fill>
                <patternFill>
                  <bgColor theme="8" tint="0.59996337778862885"/>
                </patternFill>
              </fill>
            </x14:dxf>
          </x14:cfRule>
          <xm:sqref>A3:K33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Sayfa2!$A$1:$A$12</xm:f>
          </x14:formula1>
          <xm:sqref>A2</xm:sqref>
        </x14:dataValidation>
        <x14:dataValidation type="list" allowBlank="1" showInputMessage="1" showErrorMessage="1" xr:uid="{00000000-0002-0000-0100-000002000000}">
          <x14:formula1>
            <xm:f>Sayfa2!$B$1:$B$6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Sayfa2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Radyoloji Tekniker</dc:creator>
  <cp:lastModifiedBy>Radyoloji Tekniker</cp:lastModifiedBy>
  <dcterms:created xsi:type="dcterms:W3CDTF">2024-12-13T15:40:06Z</dcterms:created>
  <dcterms:modified xsi:type="dcterms:W3CDTF">2025-07-07T05:05:08Z</dcterms:modified>
</cp:coreProperties>
</file>