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Yeni klasör\itf_python\"/>
    </mc:Choice>
  </mc:AlternateContent>
  <xr:revisionPtr revIDLastSave="0" documentId="13_ncr:1_{FD24054F-D0C5-4D0D-B434-66A74CC42816}" xr6:coauthVersionLast="47" xr6:coauthVersionMax="47" xr10:uidLastSave="{00000000-0000-0000-0000-000000000000}"/>
  <bookViews>
    <workbookView xWindow="-120" yWindow="-120" windowWidth="29040" windowHeight="15840" xr2:uid="{A310F0E0-5542-4EE1-82ED-417C25320EF1}"/>
  </bookViews>
  <sheets>
    <sheet name="Personel" sheetId="1" r:id="rId1"/>
    <sheet name="denem" sheetId="2" r:id="rId2"/>
    <sheet name="denem2" sheetId="3" r:id="rId3"/>
  </sheets>
  <definedNames>
    <definedName name="_xlcn.WorksheetConnection_Personel.xlsxTablo11" hidden="1">Tablo1[]</definedName>
    <definedName name="_xlcn.WorksheetConnection_Personel.xlsxTablo21" hidden="1">Tablo2[]</definedName>
    <definedName name="_xlcn.WorksheetConnection_Personel.xlsxTablo31" hidden="1">Tablo3[]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o1" name="Tablo1" connection="WorksheetConnection_Personel.xlsx!Tablo1"/>
          <x15:modelTable id="Tablo2" name="Tablo2" connection="WorksheetConnection_Personel.xlsx!Tablo2"/>
          <x15:modelTable id="Tablo3" name="Tablo3" connection="WorksheetConnection_Personel.xlsx!Tablo3"/>
        </x15:modelTables>
        <x15:modelRelationships>
          <x15:modelRelationship fromTable="Tablo2" fromColumn="T.C. Kimlik No" toTable="Tablo1" toColumn="KimlikNo"/>
          <x15:modelRelationship fromTable="Tablo3" fromColumn="T.C. Kimlik No" toTable="Tablo1" toColumn="Kimlik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EEE10-E9EF-4B8C-BF50-B644490E1646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5D53EB-617E-4CDA-878D-4D02309297BA}" name="WorksheetConnection_Personel.xlsx!Tablo1" type="102" refreshedVersion="8" minRefreshableVersion="5">
    <extLst>
      <ext xmlns:x15="http://schemas.microsoft.com/office/spreadsheetml/2010/11/main" uri="{DE250136-89BD-433C-8126-D09CA5730AF9}">
        <x15:connection id="Tablo1">
          <x15:rangePr sourceName="_xlcn.WorksheetConnection_Personel.xlsxTablo11"/>
        </x15:connection>
      </ext>
    </extLst>
  </connection>
  <connection id="3" xr16:uid="{B57127E2-33BC-4DDF-94FE-AF94CFA5124D}" name="WorksheetConnection_Personel.xlsx!Tablo2" type="102" refreshedVersion="8" minRefreshableVersion="5">
    <extLst>
      <ext xmlns:x15="http://schemas.microsoft.com/office/spreadsheetml/2010/11/main" uri="{DE250136-89BD-433C-8126-D09CA5730AF9}">
        <x15:connection id="Tablo2">
          <x15:rangePr sourceName="_xlcn.WorksheetConnection_Personel.xlsxTablo21"/>
        </x15:connection>
      </ext>
    </extLst>
  </connection>
  <connection id="4" xr16:uid="{DC0CAC76-D30F-4253-AE43-FD61F776C7C0}" name="WorksheetConnection_Personel.xlsx!Tablo3" type="102" refreshedVersion="8" minRefreshableVersion="5">
    <extLst>
      <ext xmlns:x15="http://schemas.microsoft.com/office/spreadsheetml/2010/11/main" uri="{DE250136-89BD-433C-8126-D09CA5730AF9}">
        <x15:connection id="Tablo3">
          <x15:rangePr sourceName="_xlcn.WorksheetConnection_Personel.xlsxTablo31"/>
        </x15:connection>
      </ext>
    </extLst>
  </connection>
</connections>
</file>

<file path=xl/sharedStrings.xml><?xml version="1.0" encoding="utf-8"?>
<sst xmlns="http://schemas.openxmlformats.org/spreadsheetml/2006/main" count="2357" uniqueCount="1155">
  <si>
    <t>KimlikNo</t>
  </si>
  <si>
    <t>AdSoyad</t>
  </si>
  <si>
    <t>DogumYeri</t>
  </si>
  <si>
    <t>DogumTarihi</t>
  </si>
  <si>
    <t>HizmetSinifi</t>
  </si>
  <si>
    <t>KadroUnvani</t>
  </si>
  <si>
    <t>GorevYeri</t>
  </si>
  <si>
    <t>KurumSicilNo</t>
  </si>
  <si>
    <t>MemuriyeteBaslamaTarihi</t>
  </si>
  <si>
    <t>CepTelefonu</t>
  </si>
  <si>
    <t>Eposta</t>
  </si>
  <si>
    <t>MezunOlunanOkul</t>
  </si>
  <si>
    <t>MezunOlunanFakulte</t>
  </si>
  <si>
    <t>MezuniyetTarihi</t>
  </si>
  <si>
    <t>DiplomaNo</t>
  </si>
  <si>
    <t>MezunOlunanOkul2</t>
  </si>
  <si>
    <t>MezunOlunanFakulte2</t>
  </si>
  <si>
    <t>MezuniyetTarihi2</t>
  </si>
  <si>
    <t>DiplomaNo2</t>
  </si>
  <si>
    <t>Resim</t>
  </si>
  <si>
    <t>Diploma1</t>
  </si>
  <si>
    <t>Diploma2</t>
  </si>
  <si>
    <t>OzlukDosyasi</t>
  </si>
  <si>
    <t>Durum</t>
  </si>
  <si>
    <t>AyrilisTarihi</t>
  </si>
  <si>
    <t>AyrilmaNedeni</t>
  </si>
  <si>
    <t>MuayeneTarihi</t>
  </si>
  <si>
    <t>Sonuc</t>
  </si>
  <si>
    <t>sync_status</t>
  </si>
  <si>
    <t>updated_at</t>
  </si>
  <si>
    <t>Abdullah Onur Kılıç</t>
  </si>
  <si>
    <t>Aktif</t>
  </si>
  <si>
    <t>clean</t>
  </si>
  <si>
    <t>Abdurrahman Avcıoğlu</t>
  </si>
  <si>
    <t>Abidin Önder Dönmez</t>
  </si>
  <si>
    <t>SAĞLIK TEKNİKERİ</t>
  </si>
  <si>
    <t>Ahmet Bayrak</t>
  </si>
  <si>
    <t>Ahmet Yılmaz</t>
  </si>
  <si>
    <t>Alperen Kantarcılar</t>
  </si>
  <si>
    <t>Arife Tanrıverdi</t>
  </si>
  <si>
    <t>Artür Salmaslıoğlu</t>
  </si>
  <si>
    <t>Arzu Çelik</t>
  </si>
  <si>
    <t>Arzu Poyanlı</t>
  </si>
  <si>
    <t>Arzu Şahin</t>
  </si>
  <si>
    <t>Arzu Burcu Yılmaz</t>
  </si>
  <si>
    <t>Atadan Tunacı</t>
  </si>
  <si>
    <t>Ayhan Açar</t>
  </si>
  <si>
    <t>Ayhan Arslanoğlu</t>
  </si>
  <si>
    <t>Ayhan Çatkın</t>
  </si>
  <si>
    <t>Ayshan Safaralıyeva</t>
  </si>
  <si>
    <t>Ayşin Gül</t>
  </si>
  <si>
    <t>Banu İşcan</t>
  </si>
  <si>
    <t>Banu Solak</t>
  </si>
  <si>
    <t>Barış Bakır</t>
  </si>
  <si>
    <t>Belis Tozlu Yücel</t>
  </si>
  <si>
    <t>Berfim Güngördü</t>
  </si>
  <si>
    <t>Berna Tomaç</t>
  </si>
  <si>
    <t>Bilal Karavil</t>
  </si>
  <si>
    <t>SAĞLIK TEKNİSYENİ</t>
  </si>
  <si>
    <t>Bilgin Coşkun</t>
  </si>
  <si>
    <t>Birsen Gença</t>
  </si>
  <si>
    <t>Burak Şan</t>
  </si>
  <si>
    <t>Burcu Günay</t>
  </si>
  <si>
    <t>Caner Varol</t>
  </si>
  <si>
    <t>Celal Caner Ercan</t>
  </si>
  <si>
    <t>Cemil Oğuzcan</t>
  </si>
  <si>
    <t>Cüneyt Hebip</t>
  </si>
  <si>
    <t>Çağlar Büyük</t>
  </si>
  <si>
    <t>Çiğdem Eren</t>
  </si>
  <si>
    <t>Değer Özcan</t>
  </si>
  <si>
    <t>Deniz Aslan</t>
  </si>
  <si>
    <t>Deniz Saliha Sobayapan</t>
  </si>
  <si>
    <t>Dilek Buzakoğlu</t>
  </si>
  <si>
    <t>Dilek İpkir</t>
  </si>
  <si>
    <t>Dilşah Salkın</t>
  </si>
  <si>
    <t>Duygu Sena Akın</t>
  </si>
  <si>
    <t>Ebru Arslan Bahçekapılı</t>
  </si>
  <si>
    <t>Eda Evcil</t>
  </si>
  <si>
    <t>Ekrem Çok</t>
  </si>
  <si>
    <t>Elif Erden</t>
  </si>
  <si>
    <t>Elif Şentürk Toraman</t>
  </si>
  <si>
    <t>Elif Nur Koçak</t>
  </si>
  <si>
    <t>Emel Baş</t>
  </si>
  <si>
    <t>Emine İnan</t>
  </si>
  <si>
    <t>Emirhan Karaş</t>
  </si>
  <si>
    <t>Emre Tolga Şahin</t>
  </si>
  <si>
    <t>Engin Yılmaz</t>
  </si>
  <si>
    <t>Ercan Hamarat</t>
  </si>
  <si>
    <t>Faik Alkan</t>
  </si>
  <si>
    <t>Farzad Farahmand</t>
  </si>
  <si>
    <t>Fatih Işık</t>
  </si>
  <si>
    <t>Fatih Selamet Tartıcı</t>
  </si>
  <si>
    <t>Fatma Birsu Tepecik</t>
  </si>
  <si>
    <t>Fevzi Karahan</t>
  </si>
  <si>
    <t>Fidan Koca</t>
  </si>
  <si>
    <t>Furkan Işık</t>
  </si>
  <si>
    <t>Furkan Polat</t>
  </si>
  <si>
    <t>Gönül Perek</t>
  </si>
  <si>
    <t>Gurbet Karacan</t>
  </si>
  <si>
    <t>Gülşen Erdem</t>
  </si>
  <si>
    <t>Gülşen Yüce</t>
  </si>
  <si>
    <t>Hakan Durmuş</t>
  </si>
  <si>
    <t>Hakan Eravcı</t>
  </si>
  <si>
    <t>Hakkı Tuncer</t>
  </si>
  <si>
    <t>Hamza Kurt</t>
  </si>
  <si>
    <t>Hasan Taş</t>
  </si>
  <si>
    <t>Hatice Ünal</t>
  </si>
  <si>
    <t>Helin Köse</t>
  </si>
  <si>
    <t>Hikmet Arıkan</t>
  </si>
  <si>
    <t>Hilal Erva Acar</t>
  </si>
  <si>
    <t>Hilmi Demirci</t>
  </si>
  <si>
    <t>Hilmi Korkmaz</t>
  </si>
  <si>
    <t>Hümeyra Sıvacı</t>
  </si>
  <si>
    <t>İbrahim Halil Akkış</t>
  </si>
  <si>
    <t>İlkay Karsavran Öztürk</t>
  </si>
  <si>
    <t>İlknur Akgünlü</t>
  </si>
  <si>
    <t>İnci Uzala Moran</t>
  </si>
  <si>
    <t>İsa Durak</t>
  </si>
  <si>
    <t>İsmail Çor</t>
  </si>
  <si>
    <t>İsmail Sarıgüzel</t>
  </si>
  <si>
    <t>İzzettin Akyüz</t>
  </si>
  <si>
    <t>Kadir Kahyaroğlu</t>
  </si>
  <si>
    <t>Kadriye Karaca</t>
  </si>
  <si>
    <t>Kadriye Yılmaz</t>
  </si>
  <si>
    <t>Kemal Altay</t>
  </si>
  <si>
    <t>Kübra Gültaş</t>
  </si>
  <si>
    <t>Kübranur Duman</t>
  </si>
  <si>
    <t>Mehmet Barburoğlu</t>
  </si>
  <si>
    <t>Mehmet Küskü</t>
  </si>
  <si>
    <t>Mehmet Nur Önder</t>
  </si>
  <si>
    <t>Mehmet Semih Çakır</t>
  </si>
  <si>
    <t>Melek Ulu</t>
  </si>
  <si>
    <t>Melek Ünal Öneş</t>
  </si>
  <si>
    <t>Meliha Sultan Özenç</t>
  </si>
  <si>
    <t>Melis Kaya</t>
  </si>
  <si>
    <t>Menduh Dursun</t>
  </si>
  <si>
    <t>Mert Özvatan</t>
  </si>
  <si>
    <t>Merve Gülbiz Dağoğlu Kartal</t>
  </si>
  <si>
    <t>Meryem Bayram</t>
  </si>
  <si>
    <t>Meryem Kılıç</t>
  </si>
  <si>
    <t>Mesut Bulakçı</t>
  </si>
  <si>
    <t>Mesut Özbek</t>
  </si>
  <si>
    <t>Mıkaeıl Ahmadpourdashlıboroun</t>
  </si>
  <si>
    <t>Miray İvak</t>
  </si>
  <si>
    <t>Muhammet Tonkal</t>
  </si>
  <si>
    <t>Murat Türker</t>
  </si>
  <si>
    <t>Murat Yılmaz</t>
  </si>
  <si>
    <t>Mustafa Durmaz</t>
  </si>
  <si>
    <t>Mustafa Özen</t>
  </si>
  <si>
    <t>Münevver Ebru Tangi</t>
  </si>
  <si>
    <t>Naciye Pehlivanoğlu Aluç</t>
  </si>
  <si>
    <t>Nargül Şahin</t>
  </si>
  <si>
    <t>Nazlı Hilal Yanık</t>
  </si>
  <si>
    <t>Nebile Medetalibeyoğlu</t>
  </si>
  <si>
    <t>Nebiye Serra Sencer</t>
  </si>
  <si>
    <t>Nesrin Binay</t>
  </si>
  <si>
    <t>Nida Karaca</t>
  </si>
  <si>
    <t>Nisane Yolcu</t>
  </si>
  <si>
    <t>Nurcan Uzel</t>
  </si>
  <si>
    <t>Oğul Adnan Recal</t>
  </si>
  <si>
    <t>Ömer Demir</t>
  </si>
  <si>
    <t>Öykü İkizgül</t>
  </si>
  <si>
    <t>Özge Deniz Fazlıoğlu</t>
  </si>
  <si>
    <t>Özlem Demirbüken</t>
  </si>
  <si>
    <t>Özlem Buruc Kuş</t>
  </si>
  <si>
    <t>Pınar Şimşek</t>
  </si>
  <si>
    <t>Ramazan Nazlım</t>
  </si>
  <si>
    <t>Rana Günöz Cömert Bozkurt</t>
  </si>
  <si>
    <t>Ravza Sümeyye Yılmaz</t>
  </si>
  <si>
    <t>Resul Usul</t>
  </si>
  <si>
    <t>Reşat Erden</t>
  </si>
  <si>
    <t>Rümeysa Güçlü</t>
  </si>
  <si>
    <t>Rümeysa Şevik</t>
  </si>
  <si>
    <t>Sadık Özlem</t>
  </si>
  <si>
    <t>Sahıb Alızada</t>
  </si>
  <si>
    <t>Sait Kayalı</t>
  </si>
  <si>
    <t>Salih Yıldırım</t>
  </si>
  <si>
    <t>Sedat Önel</t>
  </si>
  <si>
    <t>Selin Dal</t>
  </si>
  <si>
    <t>Serap Alptekin</t>
  </si>
  <si>
    <t>Serkan Hacımustafaoğlu</t>
  </si>
  <si>
    <t>Sevilay Tuncay</t>
  </si>
  <si>
    <t>Seyhan Koç</t>
  </si>
  <si>
    <t>Shabnam Mostafazadeh</t>
  </si>
  <si>
    <t>Sıla Atacan</t>
  </si>
  <si>
    <t>Sıtkı Safa Taflan</t>
  </si>
  <si>
    <t>Simay Sara Nas</t>
  </si>
  <si>
    <t>Sinan Seyrek</t>
  </si>
  <si>
    <t>Sümeyye Çarpışan</t>
  </si>
  <si>
    <t>Şaban Şahin</t>
  </si>
  <si>
    <t>Şevval Demir</t>
  </si>
  <si>
    <t>Şuheda Şengül</t>
  </si>
  <si>
    <t>Şükrü Mehmet Ertürk</t>
  </si>
  <si>
    <t>Şükrü Sarp Şahin</t>
  </si>
  <si>
    <t>Şükrüye Yalın</t>
  </si>
  <si>
    <t>Taylan Göğer</t>
  </si>
  <si>
    <t>Tuğba Bağlan</t>
  </si>
  <si>
    <t>Tuğçe Çalıkoğlu Eski</t>
  </si>
  <si>
    <t>Tuğkan Ergün</t>
  </si>
  <si>
    <t>Ufuk Aydoğan</t>
  </si>
  <si>
    <t>Umut Kömürcü</t>
  </si>
  <si>
    <t>Vedat Burak Kandemirli</t>
  </si>
  <si>
    <t>Vehbi Genç</t>
  </si>
  <si>
    <t>Yağmur Tatar</t>
  </si>
  <si>
    <t>Yasa Alp</t>
  </si>
  <si>
    <t>Yasemin Günüşen</t>
  </si>
  <si>
    <t>Yasemin Mozakoğlu Semender</t>
  </si>
  <si>
    <t>Yavuz Bahadır Taktak</t>
  </si>
  <si>
    <t>Yegana Mammadova</t>
  </si>
  <si>
    <t>Yekta Kesim</t>
  </si>
  <si>
    <t>Yıldız Gedik</t>
  </si>
  <si>
    <t>Yunus Emre Norçinli</t>
  </si>
  <si>
    <t>Yusuf Kahraman</t>
  </si>
  <si>
    <t>Yusuf Tatlısöz</t>
  </si>
  <si>
    <t>Zerrin Bozkurt</t>
  </si>
  <si>
    <t>Zeynep Çobanoğlu</t>
  </si>
  <si>
    <t>Zeynep Kandemirli</t>
  </si>
  <si>
    <t>Zeynep Öztürk</t>
  </si>
  <si>
    <t>Zuhal Bayramoğlu</t>
  </si>
  <si>
    <t>Züleyha Zorlu</t>
  </si>
  <si>
    <t>E-posta Adresi</t>
  </si>
  <si>
    <t>Vesikalık Fotograf</t>
  </si>
  <si>
    <t>Ad Soyad</t>
  </si>
  <si>
    <t>T.C. Kimlik No</t>
  </si>
  <si>
    <t>Unvanı</t>
  </si>
  <si>
    <t>Görevi</t>
  </si>
  <si>
    <t>Baba Adı</t>
  </si>
  <si>
    <t>Doğum Yeri / Tarihi</t>
  </si>
  <si>
    <t>Mezun Olduğu Okul / Yüksek Okul / Fakülte</t>
  </si>
  <si>
    <t>Diploma Tarih ve No</t>
  </si>
  <si>
    <t>Uzmanlık Belgesi Tarih ve No (Varsa)</t>
  </si>
  <si>
    <t>onderdonmez15@gmail.com</t>
  </si>
  <si>
    <t>Radyoloji ABD.</t>
  </si>
  <si>
    <t>https://Doktorive.google.com/open?id=1xD2OR936EMERrgEFQFK-b6HMxP5Thp0T</t>
  </si>
  <si>
    <t>A. Önder Dönmez</t>
  </si>
  <si>
    <t>Sağlık Teknikeri</t>
  </si>
  <si>
    <t>Radyoloji Teknikeri</t>
  </si>
  <si>
    <t>Ömer</t>
  </si>
  <si>
    <t>----</t>
  </si>
  <si>
    <t>aavcioglu97@gmail.com</t>
  </si>
  <si>
    <t>https://drive.google.com/open?id=1FDUcBJxUQtNFjYG5KZplRaWO0P0gVmnr</t>
  </si>
  <si>
    <t xml:space="preserve">Abdurrahman AVCIOĞLU </t>
  </si>
  <si>
    <t xml:space="preserve">Asistan Doktor </t>
  </si>
  <si>
    <t>Doktor</t>
  </si>
  <si>
    <t>Erkan</t>
  </si>
  <si>
    <t>yasinkarkas@gmail.com</t>
  </si>
  <si>
    <t>https://Doktorive.google.com/open?id=1fvzep5d9sr8lmMeUweX56wmQf1aU02Fi</t>
  </si>
  <si>
    <t xml:space="preserve">Ahmet Yasin Karkaş </t>
  </si>
  <si>
    <t>Araştırma Görevlisi, Doktor</t>
  </si>
  <si>
    <t xml:space="preserve">Tıpta Uzmanlık Öğrencisi </t>
  </si>
  <si>
    <t>Murat</t>
  </si>
  <si>
    <t>ahmetyilmazin@gmail.com</t>
  </si>
  <si>
    <t>https://drive.google.com/open?id=1820zlQZ0aHnZmE2egFshM3H9XNsYO4t7</t>
  </si>
  <si>
    <t xml:space="preserve">Ahmet Yılmaz </t>
  </si>
  <si>
    <t xml:space="preserve">Laborant </t>
  </si>
  <si>
    <t xml:space="preserve">Radyoloji teknikeri </t>
  </si>
  <si>
    <t>Hasan</t>
  </si>
  <si>
    <t>aliozanmalkoc@msn.com</t>
  </si>
  <si>
    <t>Ali ozan malkoç</t>
  </si>
  <si>
    <t>Sağlık teknikeri</t>
  </si>
  <si>
    <t>Radyoloji teknikeri</t>
  </si>
  <si>
    <t>Recep</t>
  </si>
  <si>
    <t>https://drive.google.com/open?id=1u_9qOB50KyFNDOLveAa5vEkPPu51IBEV</t>
  </si>
  <si>
    <t>asalmaslioglu@gmail.com</t>
  </si>
  <si>
    <t>https://drive.google.com/open?id=1qD73PTajtE8lmOxl7b91Vig9wH5BY3ms</t>
  </si>
  <si>
    <t>Prof. Dr.</t>
  </si>
  <si>
    <t>Radyoloji ABD Doktor</t>
  </si>
  <si>
    <t>Kevork</t>
  </si>
  <si>
    <t>16.09.2005 68241</t>
  </si>
  <si>
    <t>arzuaksut@hotmail.com</t>
  </si>
  <si>
    <t>https://drive.google.com/open?id=1rPu0Ybrej_LUgLRSsjka3BmxvMhBfD6X</t>
  </si>
  <si>
    <t>ARZU AKSÜT</t>
  </si>
  <si>
    <t>RADYOLOJİ TEKNİKERİ</t>
  </si>
  <si>
    <t>CELİL</t>
  </si>
  <si>
    <t>IĞDIR</t>
  </si>
  <si>
    <t>arzuozercelik@gmail.com</t>
  </si>
  <si>
    <t>https://Doktorive.google.com/open?id=1zO7IKbY98goYnhlu9w4j_LQPiw-MtYKx</t>
  </si>
  <si>
    <t xml:space="preserve">Arzu Çelik </t>
  </si>
  <si>
    <t xml:space="preserve">Sağlık Teknikeri </t>
  </si>
  <si>
    <t xml:space="preserve">Radyoloji Teknikeri </t>
  </si>
  <si>
    <t xml:space="preserve">Hayrettin </t>
  </si>
  <si>
    <t>arzupoyanli@yahoo.com</t>
  </si>
  <si>
    <t>https://drive.google.com/open?id=1jiT5uNApBZBcWOk-rGO-18dFspFAO5qz</t>
  </si>
  <si>
    <t>Prof. Dr</t>
  </si>
  <si>
    <t>Kazım Armağan</t>
  </si>
  <si>
    <t>Uzmanlık tarihi 22.05.1997, tescil: 56011 67805, kayıt tarihi: 07.03.2002</t>
  </si>
  <si>
    <t>elifarzu.1982@gmail.com</t>
  </si>
  <si>
    <t>https://drive.google.com/open?id=16JL5S2aobzBtWJ6m_12Z9d_1MGw-dPZN</t>
  </si>
  <si>
    <t xml:space="preserve">Arzu Şahin </t>
  </si>
  <si>
    <t xml:space="preserve">Sağlık teknikeri </t>
  </si>
  <si>
    <t>Cemal</t>
  </si>
  <si>
    <t>ATATUNA@GMAIL.COM</t>
  </si>
  <si>
    <t>https://drive.google.com/open?id=1fGLW-Yp5szAephj-6KgPVD-yavzWNCTR</t>
  </si>
  <si>
    <t>ATADAN TUNACI</t>
  </si>
  <si>
    <t>PROFESÖR DOKTOR</t>
  </si>
  <si>
    <t>RADYOLOJİ</t>
  </si>
  <si>
    <t>MEHMET</t>
  </si>
  <si>
    <t>ayhan.arslanoglu@istabul.edu.tr</t>
  </si>
  <si>
    <t>https://drive.google.com/open?id=158dQb5WFZqBjP6X_jBW1JdKpw_ak9Udt</t>
  </si>
  <si>
    <t xml:space="preserve">Ayhan Arslanoglu </t>
  </si>
  <si>
    <t xml:space="preserve">Hüseyin Fikri </t>
  </si>
  <si>
    <t>ayseibis@istanbul.edu.tr</t>
  </si>
  <si>
    <t>Ayşe İbiş</t>
  </si>
  <si>
    <t>Araştırma Görevlisi</t>
  </si>
  <si>
    <t>https://drive.google.com/open?id=183loTrCwbRoXE1qJ4qvJgodef0zkfItI</t>
  </si>
  <si>
    <t xml:space="preserve">Ömer </t>
  </si>
  <si>
    <t>banu.solak@istanbul.edu.tr</t>
  </si>
  <si>
    <t>https://Doktorive.google.com/open?id=1UGO-2JO7IM6oZi_hi6rhbskFCoPSYK4f</t>
  </si>
  <si>
    <t>Uzmanlık Öğrencisi</t>
  </si>
  <si>
    <t>Asistan doktor</t>
  </si>
  <si>
    <t>Hikmet</t>
  </si>
  <si>
    <t>drbarisbakir@yahoo.com</t>
  </si>
  <si>
    <t>https://drive.google.com/open?id=1VS-h05Fid-Hv9IhnJh5OX7NLMaOnUQTA</t>
  </si>
  <si>
    <t>BARIŞ BAKIR</t>
  </si>
  <si>
    <t>Profesör</t>
  </si>
  <si>
    <t>Radyoloji Uzmanı</t>
  </si>
  <si>
    <t>Zeki</t>
  </si>
  <si>
    <t>21/10/2004 75867</t>
  </si>
  <si>
    <t>bbelistozlu@gmail.com</t>
  </si>
  <si>
    <t>https://drive.google.com/open?id=1Yp4VgQ2ek-iKXFBgnUvjr42MbzbDIchT</t>
  </si>
  <si>
    <t>Belis Tozlu</t>
  </si>
  <si>
    <t>Asistan Doktor</t>
  </si>
  <si>
    <t>Zafer</t>
  </si>
  <si>
    <t>berke.ersoy@istanbul.edu.tr</t>
  </si>
  <si>
    <t>https://Doktorive.google.com/open?id=1jLozGU4VH4qixAfJNInsg-GumtLUmcGi</t>
  </si>
  <si>
    <t>Berke Ersoy</t>
  </si>
  <si>
    <t>Tıpta Uzmanlık Öğrencisi</t>
  </si>
  <si>
    <t>Muzaffer</t>
  </si>
  <si>
    <t>brnolgun_90@hotmail.com</t>
  </si>
  <si>
    <t>https://drive.google.com/open?id=1A8rIcGpaQrHYDXFBl6NlP0K7nJIdUbK0</t>
  </si>
  <si>
    <t>BERNA TOMAÇ</t>
  </si>
  <si>
    <t>SÜLEYMAN</t>
  </si>
  <si>
    <t>bllkrvl26@gmail.com</t>
  </si>
  <si>
    <t>https://drive.google.com/open?id=1Gn1bHRjhc9v2ugFgI_Rz3l1vfL1iUSBd</t>
  </si>
  <si>
    <t>Diğer Sağlık Personeli</t>
  </si>
  <si>
    <t>Aydın</t>
  </si>
  <si>
    <t>bncoskun@istanbul.edu.tr</t>
  </si>
  <si>
    <t>https://Doktorive.google.com/open?id=1hQUOdbu6qzEYm2PtvnrhU5GaVl6ReEcB</t>
  </si>
  <si>
    <t>Bilgin Nabi COŞKUN</t>
  </si>
  <si>
    <t>Arş.Gör</t>
  </si>
  <si>
    <t>Erhan</t>
  </si>
  <si>
    <t>birsenfirat99@gmail.com</t>
  </si>
  <si>
    <t>https://drive.google.com/open?id=15Ma7gPrlG2GKIrDICvMdomiTI4GiGbhA</t>
  </si>
  <si>
    <t xml:space="preserve">Birsen Fırat </t>
  </si>
  <si>
    <t>Laborant</t>
  </si>
  <si>
    <t xml:space="preserve">Radyoloji teknisyeni </t>
  </si>
  <si>
    <t xml:space="preserve">Hüseyin </t>
  </si>
  <si>
    <t>buraksann070@gmail.com</t>
  </si>
  <si>
    <t>https://Doktorive.google.com/open?id=1XUsbjt7GLstuyztM9nGArMPAVueUW5_r</t>
  </si>
  <si>
    <t>Burak şan</t>
  </si>
  <si>
    <t>Ejder</t>
  </si>
  <si>
    <t>acunasb@hotmail.com</t>
  </si>
  <si>
    <t>https://Doktorive.google.com/open?id=1sRfjLgopLqnpd1yw6ylLEp_FNejt6XrP</t>
  </si>
  <si>
    <t>Bülent Acunaş</t>
  </si>
  <si>
    <t>Prof. Doktor.</t>
  </si>
  <si>
    <t>Öğretim Üyesi</t>
  </si>
  <si>
    <t>Ali</t>
  </si>
  <si>
    <t>İstanbul Tıp Fakültesi</t>
  </si>
  <si>
    <t>14.03.1985. 22447</t>
  </si>
  <si>
    <t>caner-varol@hotmail.com</t>
  </si>
  <si>
    <t>https://drive.google.com/open?id=1Eg09th1430UMruQJIlPD_TeI9jRBcDiV</t>
  </si>
  <si>
    <t>Caner varol</t>
  </si>
  <si>
    <t>BT TEKNİKERİ</t>
  </si>
  <si>
    <t>Mustafa</t>
  </si>
  <si>
    <t>celalcaner@msn.com</t>
  </si>
  <si>
    <t>https://Doktorive.google.com/open?id=1VYqmQglbDsYS-trbVPJ9GmsAfYNU3d5C</t>
  </si>
  <si>
    <t>Cevat</t>
  </si>
  <si>
    <t>cem.kara@istanbul.edu.tr</t>
  </si>
  <si>
    <t>https://drive.google.com/open?id=190nK3W9YoxQ_9HHkcdCkcqyB-4oDa7CQ</t>
  </si>
  <si>
    <t>Cem Kara</t>
  </si>
  <si>
    <t>Şerif</t>
  </si>
  <si>
    <t>cemiloguzcan@hotmail.com</t>
  </si>
  <si>
    <t>https://Doktorive.google.com/open?id=16CHIk85DCEFS8lCrO5IORzw6O5ngNbvE</t>
  </si>
  <si>
    <t xml:space="preserve">Acil röntgen </t>
  </si>
  <si>
    <t>Adil</t>
  </si>
  <si>
    <t>cuneyt.hebip@gmail.com</t>
  </si>
  <si>
    <t>https://drive.google.com/open?id=1OtCfpLLuX5CGDhwCkmYQ9EGEFKXtsINZ</t>
  </si>
  <si>
    <t xml:space="preserve">Erdoğan </t>
  </si>
  <si>
    <t>gs.cigdem_90@hotmail.com</t>
  </si>
  <si>
    <t>https://Doktorive.google.com/open?id=1IcpfOs5fXSQVfPWYS_h1lHM-aYNLFj82</t>
  </si>
  <si>
    <t>Sağlik Teknikeri</t>
  </si>
  <si>
    <t>Ergün</t>
  </si>
  <si>
    <t>bahadiryildir@gmail.con</t>
  </si>
  <si>
    <t>https://drive.google.com/open?id=1YMZPxoq0KQFr2tzdwXCd-E83EdCZNlpc</t>
  </si>
  <si>
    <t>DAVUD BAHADIR YILDIRIM</t>
  </si>
  <si>
    <t>Nihat</t>
  </si>
  <si>
    <t>ensalp2018@gmail.com</t>
  </si>
  <si>
    <t>https://drive.google.com/open?id=1_GMXyXHFFpxeJI9flGCyDF45BTf-92C8</t>
  </si>
  <si>
    <t xml:space="preserve">Sağlık Teknikleri </t>
  </si>
  <si>
    <t xml:space="preserve">Radyoloji ABD </t>
  </si>
  <si>
    <t xml:space="preserve">Şaban </t>
  </si>
  <si>
    <t>edanurkarapinar@istanbul.edu.tr</t>
  </si>
  <si>
    <t>https://Doktorive.google.com/open?id=15lPgts4bIC7vjZ4j9j54Kz0DeNZ4O7At</t>
  </si>
  <si>
    <t>Edanur Karapınar</t>
  </si>
  <si>
    <t>Araştırma Görevlisi Doktor</t>
  </si>
  <si>
    <t>Tıpta uzmanlık öğrencisi</t>
  </si>
  <si>
    <t>Ertuğrul Halit</t>
  </si>
  <si>
    <t>34ekremcok@gmail.com</t>
  </si>
  <si>
    <t>https://drive.google.com/open?id=1F1Ex0dKey_vfPVJI54qnzazVaetPmkNO</t>
  </si>
  <si>
    <t>Tıbbi Görüntüleme Teknikeri</t>
  </si>
  <si>
    <t>Tekniker</t>
  </si>
  <si>
    <t>Nadir</t>
  </si>
  <si>
    <t>Esenturk1403@gmail.com</t>
  </si>
  <si>
    <t>https://drive.google.com/open?id=12iTJGD_BwIsKj6a0YBqKrxsLdT9nqLpc</t>
  </si>
  <si>
    <t xml:space="preserve">Elif Şentürk Toraman </t>
  </si>
  <si>
    <t>Hüseyin</t>
  </si>
  <si>
    <t>emineinan001@gmail.com</t>
  </si>
  <si>
    <t>https://drive.google.com/open?id=1dWkOxNYwvqG6S2KgYHB3mv9vgASJF6FX</t>
  </si>
  <si>
    <t>Teknisyen</t>
  </si>
  <si>
    <t>Röntgen Teknisyeni</t>
  </si>
  <si>
    <t>Nezir</t>
  </si>
  <si>
    <t>İstanbul Medipol Üniversitesi</t>
  </si>
  <si>
    <t>emretolgasahin@hotmail.com</t>
  </si>
  <si>
    <t>https://drive.google.com/open?id=15XXtbPC72f0bvhcyJlk-pootJ8PiZnAl</t>
  </si>
  <si>
    <t>Emre Tolga ŞAHİN</t>
  </si>
  <si>
    <t>Hamdi</t>
  </si>
  <si>
    <t>Haydarpaşa Bülent Akarcalı Sağlık Meslek lisesi</t>
  </si>
  <si>
    <t>ercan.na@hotmail.com</t>
  </si>
  <si>
    <t>https://Doktorive.google.com/open?id=1CfqmjYDTiLJub-FGh6QIalzjbTY32xHK</t>
  </si>
  <si>
    <t>Hasan Hamarat</t>
  </si>
  <si>
    <t>erdalagbulut@gmail.com</t>
  </si>
  <si>
    <t>https://drive.google.com/open?id=1puD_aX4cGOLS11dLb6w6dujzDLTmLHvU</t>
  </si>
  <si>
    <t>Erdal</t>
  </si>
  <si>
    <t>sağlık teknikeri</t>
  </si>
  <si>
    <t>radyoloji teknikeri</t>
  </si>
  <si>
    <t>İSMAİL</t>
  </si>
  <si>
    <t>esinduvek@gmail.com</t>
  </si>
  <si>
    <t>https://Doktorive.google.com/open?id=1UQKD1uO2_ZMmFmk9q28fwC9PXPnR8EIl</t>
  </si>
  <si>
    <t>Esin korkut</t>
  </si>
  <si>
    <t>Uzman Doktor</t>
  </si>
  <si>
    <t>İbrahim</t>
  </si>
  <si>
    <t>11.11.2022 157274</t>
  </si>
  <si>
    <t>krezg@hotmail.com</t>
  </si>
  <si>
    <t>https://Doktorive.google.com/open?id=1UZGD33Huoou6i0tljDemjdaWtPj5VQZL</t>
  </si>
  <si>
    <t>Ezgi Kara</t>
  </si>
  <si>
    <t xml:space="preserve">Radyoloji Doktoru </t>
  </si>
  <si>
    <t>Radyoloji Doktoru (Uzman)</t>
  </si>
  <si>
    <t>Zeynel</t>
  </si>
  <si>
    <t>fatih_ceng@hotmail.com</t>
  </si>
  <si>
    <t>https://drive.google.com/open?id=1mADf1yGinkaAF9cSRZp2MoLtgi3BPdNO</t>
  </si>
  <si>
    <t>Diğer Sağlık Personeli (Teknisyen)</t>
  </si>
  <si>
    <t>Radyoloji Teknisyeni</t>
  </si>
  <si>
    <t>Cengiz</t>
  </si>
  <si>
    <t>fatih.tartici@istanbul.edu.tr</t>
  </si>
  <si>
    <t>https://drive.google.com/open?id=1hnDyDQoIdDQyyJPsnEcEiJiWDVfq7LN8</t>
  </si>
  <si>
    <t>Fatih Selamet TARTICI</t>
  </si>
  <si>
    <t>Sağlık Teknisyeni</t>
  </si>
  <si>
    <t>Marmara üniversitesi</t>
  </si>
  <si>
    <t>fevzikarahan46@gmail.com</t>
  </si>
  <si>
    <t>https://Doktorive.google.com/open?id=1QDszzvSzR6_YH3wrtBQDoktor7Av7mzX4UOc</t>
  </si>
  <si>
    <t>Asef</t>
  </si>
  <si>
    <t>kocakilicfidan@gmail.com</t>
  </si>
  <si>
    <t>https://drive.google.com/open?id=15PXv7Ij3nBWgeQedqraOWfj33KvrZZb4</t>
  </si>
  <si>
    <t xml:space="preserve">Fidan Koca </t>
  </si>
  <si>
    <t xml:space="preserve">Abdurrahman </t>
  </si>
  <si>
    <t xml:space="preserve">Çukurova üniversitesi </t>
  </si>
  <si>
    <t>gokhan.altinelliler@istanbul.edu.tr</t>
  </si>
  <si>
    <t>https://Doktorive.google.com/open?id=1a5fvyeEd3HtRkH_BWXSQ3hceNH6pst-U</t>
  </si>
  <si>
    <t xml:space="preserve">Gökhan Altinelliler </t>
  </si>
  <si>
    <t xml:space="preserve">Mehmet Ali </t>
  </si>
  <si>
    <t>grkmitf@gmail.com</t>
  </si>
  <si>
    <t>https://drive.google.com/open?id=10DX3wGiKG65k1w6wbTXlQLFIdetEwnPB</t>
  </si>
  <si>
    <t>Görkem Durak</t>
  </si>
  <si>
    <t>Yaşar</t>
  </si>
  <si>
    <t>hakanayyildiz77@gmail.com</t>
  </si>
  <si>
    <t>https://drive.google.com/open?id=10RVKHrLWmi5sSNqdlnRFWlkvJ-bf6pfK</t>
  </si>
  <si>
    <t>Hakan Ayyıldız</t>
  </si>
  <si>
    <t xml:space="preserve">Selahattin </t>
  </si>
  <si>
    <t>buse_42554@hotmail.com</t>
  </si>
  <si>
    <t>https://Doktorive.google.com/open?id=1A_kDwI9YYTOwsRhnMlIl2-1JhCRwheiP</t>
  </si>
  <si>
    <t>Hakkı tuncer</t>
  </si>
  <si>
    <t>Muammer</t>
  </si>
  <si>
    <t>hkarakaya1971@homail.com</t>
  </si>
  <si>
    <t>https://Doktorive.google.com/open?id=1osislJq-hk8bUiw_UnZO0gTqXt0VmS2o</t>
  </si>
  <si>
    <t xml:space="preserve">Halil karakaya </t>
  </si>
  <si>
    <t>Şaban</t>
  </si>
  <si>
    <t>htas87984@gmail.com</t>
  </si>
  <si>
    <t>https://Doktorive.google.com/open?id=1EXS9SvlBKQ_liYaVtCzRSyqO79Prqx9o</t>
  </si>
  <si>
    <t>HASAN TAŞ</t>
  </si>
  <si>
    <t xml:space="preserve">ABDULLAH </t>
  </si>
  <si>
    <t>Bitlis Eren Üniversitesi</t>
  </si>
  <si>
    <t>helinkose95@gmail.com</t>
  </si>
  <si>
    <t>https://Doktorive.google.com/open?id=19fjjPdtpLfY5Wp7WTOmVXN60qhgNQVnx</t>
  </si>
  <si>
    <t>Doktor.</t>
  </si>
  <si>
    <t>Arş. Gör.</t>
  </si>
  <si>
    <t>Dağıstan</t>
  </si>
  <si>
    <t>hilmidemirci34@hotmail.com</t>
  </si>
  <si>
    <t>https://Doktorive.google.com/open?id=1ujsFAbfth-1cGDdabZEUOHIIWyyWjdGs</t>
  </si>
  <si>
    <t>HİLMİ DEMİRCİ</t>
  </si>
  <si>
    <t>MUSTAFA</t>
  </si>
  <si>
    <t>birdiziizi@hotmail.com</t>
  </si>
  <si>
    <t>https://Doktorive.google.com/open?id=1otbqkNajVR6PqQz2WxZZfLGEaHZaFFLy</t>
  </si>
  <si>
    <t xml:space="preserve">Mehmet </t>
  </si>
  <si>
    <t>Pazarcık</t>
  </si>
  <si>
    <t>ibrahimakkis@gmail.com</t>
  </si>
  <si>
    <t>https://drive.google.com/open?id=1i50M9CDM-4nquSrWoMUEXMODBLExa8St</t>
  </si>
  <si>
    <t>İbrahim halil akkış</t>
  </si>
  <si>
    <t>Kemal</t>
  </si>
  <si>
    <t>ilker_baki@hotmail.com</t>
  </si>
  <si>
    <t>https://drive.google.com/open?id=1o_rBRikE2S0VuaJjEhmRb6atlkdighiw</t>
  </si>
  <si>
    <t>ilker baki sönmez</t>
  </si>
  <si>
    <t>Radyoloji teknisyeni</t>
  </si>
  <si>
    <t>Veli</t>
  </si>
  <si>
    <t>Lise</t>
  </si>
  <si>
    <t>iakgunlu@yahoo.com</t>
  </si>
  <si>
    <t>https://Doktorive.google.com/open?id=1HgratoW0dV8iZZu4mETbtGzJSTJOxxej</t>
  </si>
  <si>
    <t xml:space="preserve">İlknur Akgünlü </t>
  </si>
  <si>
    <t>İsmail</t>
  </si>
  <si>
    <t>ilyasozkazanc0@gmail.com</t>
  </si>
  <si>
    <t>https://Doktorive.google.com/open?id=13IVY9SRVivkfkkpk_MmKzkabe9wjInj8</t>
  </si>
  <si>
    <t>İlyas özkazanç</t>
  </si>
  <si>
    <t xml:space="preserve">Radyoloji Teknisyeni </t>
  </si>
  <si>
    <t>Aziz</t>
  </si>
  <si>
    <t>Ortaöğretim (meslek lisesi)</t>
  </si>
  <si>
    <t>i.sariguzel@hotmail.com</t>
  </si>
  <si>
    <t>https://drive.google.com/open?id=1ia5F0C9o9hsjlnggbRXKBzwDpbQ04X5o</t>
  </si>
  <si>
    <t>Sağlık hizmetleri laborant</t>
  </si>
  <si>
    <t>Radyoloji tekn.</t>
  </si>
  <si>
    <t>Süleyman</t>
  </si>
  <si>
    <t>Jale dabak</t>
  </si>
  <si>
    <t>Fizikci</t>
  </si>
  <si>
    <t>Ahmet</t>
  </si>
  <si>
    <t>kaDoktoriyekrc1453@gmail.com</t>
  </si>
  <si>
    <t>https://Doktorive.google.com/open?id=120VKpDAz4HMffgBmGZGCOl_nYiAV6iD1</t>
  </si>
  <si>
    <t>KaDoktoriye Karaca</t>
  </si>
  <si>
    <t xml:space="preserve">İzzet </t>
  </si>
  <si>
    <t xml:space="preserve">İstanbul üniversitesi </t>
  </si>
  <si>
    <t>kadrye_keles@hotmail.com</t>
  </si>
  <si>
    <t>https://drive.google.com/open?id=1lmYAm_Zp_W3jzhRvldY0xVlwHuAXkqzA</t>
  </si>
  <si>
    <t>Reşat</t>
  </si>
  <si>
    <t>Şişli saglık meslek lisesi</t>
  </si>
  <si>
    <t>kemalty16@gmail.com</t>
  </si>
  <si>
    <t>https://Doktorive.google.com/open?id=1qz9RoqB0RgpcZvXSA3XICUyKHypAoLls</t>
  </si>
  <si>
    <t>Ercan</t>
  </si>
  <si>
    <t>İ.Ü Cerrahpaşa Tıp Fakültesi</t>
  </si>
  <si>
    <t>kubra_gmusss@hotmail.com</t>
  </si>
  <si>
    <t>https://Doktorive.google.com/open?id=18CPkOhhhQw2jphI8S5ojnIukyp73e2a5</t>
  </si>
  <si>
    <t>Kübra gültaş</t>
  </si>
  <si>
    <t>Acıbadem Üniversitesi</t>
  </si>
  <si>
    <t>barburmehmet@gmail.com</t>
  </si>
  <si>
    <t>https://drive.google.com/open?id=15vo1Pr8umv5bESdjbGUkUo7UaUXmanVs</t>
  </si>
  <si>
    <t>MEHMET BARBUROĞLU</t>
  </si>
  <si>
    <t>DR. ÖĞRETİM ÜYESİ</t>
  </si>
  <si>
    <t>TIP DOKTORU</t>
  </si>
  <si>
    <t>HİKMET</t>
  </si>
  <si>
    <t>17.02.2015 - 114563</t>
  </si>
  <si>
    <t>mehmetgur3@hotmail.com</t>
  </si>
  <si>
    <t>https://drive.google.com/open?id=16kQvVe-b-VPXxu6HZESNW8tpd1-L9yzC</t>
  </si>
  <si>
    <t>Mehmet GÜR</t>
  </si>
  <si>
    <t>Hekim</t>
  </si>
  <si>
    <t>Mehmet Gür</t>
  </si>
  <si>
    <t>mehmetkusku@yahoo.com</t>
  </si>
  <si>
    <t>https://Doktorive.google.com/open?id=1N7iXw6R0B9pNtlkjxoBfXAfxCtkCtTwo</t>
  </si>
  <si>
    <t>Mehmet küskü</t>
  </si>
  <si>
    <t>Yüsüf</t>
  </si>
  <si>
    <t>myldz.1995@gmail.com</t>
  </si>
  <si>
    <t>https://Doktorive.google.com/open?id=1xsXJUZhCOmuI83F27nmZI-b6cUPTHJf_</t>
  </si>
  <si>
    <t xml:space="preserve">MEHMET YILDIZ </t>
  </si>
  <si>
    <t xml:space="preserve">Araştırma görevlisi </t>
  </si>
  <si>
    <t>Mahmut</t>
  </si>
  <si>
    <t>-</t>
  </si>
  <si>
    <t>melekunal_1981@hotmail.com</t>
  </si>
  <si>
    <t>https://Doktorive.google.com/open?id=1_sCioncERwPwdqLFm5mtOy9iMEXzfKM7</t>
  </si>
  <si>
    <t xml:space="preserve">Necip </t>
  </si>
  <si>
    <t xml:space="preserve">Kadir Has üniversitesi </t>
  </si>
  <si>
    <t>melihasultanozenc@gmail.com</t>
  </si>
  <si>
    <t>https://drive.google.com/open?id=1YFDMGFe_pZkm3XN-VbjIzB3SpVuT80wB</t>
  </si>
  <si>
    <t xml:space="preserve">Günay Lütfi </t>
  </si>
  <si>
    <t>memduhdursun1@gmail.com</t>
  </si>
  <si>
    <t>https://drive.google.com/open?id=1oViTwiV3sOPp52vp3klUOslN23XcBc9J</t>
  </si>
  <si>
    <t>Kazim</t>
  </si>
  <si>
    <t>07.04.2004    73853/100979</t>
  </si>
  <si>
    <t>drmgkartal@gmail.com</t>
  </si>
  <si>
    <t>https://drive.google.com/open?id=1oEZq-PiMXHopzLLXsPl42-dkrJrs5oXO</t>
  </si>
  <si>
    <t>Merve Gülbiz Dagoglu Kartal</t>
  </si>
  <si>
    <t>Doc. Dr,</t>
  </si>
  <si>
    <t>Ogretim Uyesi</t>
  </si>
  <si>
    <t>Temel</t>
  </si>
  <si>
    <t>27/09/2010 87090</t>
  </si>
  <si>
    <t>mesutozbek1071@gmail.com</t>
  </si>
  <si>
    <t>https://Doktorive.google.com/open?id=1NI70mc7BgbTun8FBWYUVetTqZiuUypTn</t>
  </si>
  <si>
    <t xml:space="preserve">Mesut </t>
  </si>
  <si>
    <t xml:space="preserve">Hayrullah </t>
  </si>
  <si>
    <t>mbulakci@istanbul.edu.tr</t>
  </si>
  <si>
    <t>https://drive.google.com/open?id=14s4GvIiau2rAi3MYPF3w3N7t-OsvpVl4</t>
  </si>
  <si>
    <t>MESUT BULAKÇI</t>
  </si>
  <si>
    <t>DOÇ.DR.</t>
  </si>
  <si>
    <t>RADYOLOJİ UZMANI</t>
  </si>
  <si>
    <t>MAHMUT</t>
  </si>
  <si>
    <t>muhammet_tonkal@hotmail.com</t>
  </si>
  <si>
    <t>https://drive.google.com/open?id=1HHlNdt-eGMVp4tQMHBrEzZM9e8slqifO</t>
  </si>
  <si>
    <t>radyolog01@hotmail.com</t>
  </si>
  <si>
    <t>https://drive.google.com/open?id=1KxljwqIxgRvnvaBQNHwFya7bIXFkNi_w</t>
  </si>
  <si>
    <t>Bilal</t>
  </si>
  <si>
    <t>mdurmaz95@gmail.com</t>
  </si>
  <si>
    <t>https://Doktorive.google.com/open?id=11F1kGtroTM5aD24lc86Z_njWgDoktorcWTCQ</t>
  </si>
  <si>
    <t>Doktor. Araştırma Görevlisi</t>
  </si>
  <si>
    <t>Mürsel</t>
  </si>
  <si>
    <t>mustafaozen_1907@hotmail.com</t>
  </si>
  <si>
    <t>https://drive.google.com/open?id=1339jwk2SGjNoymzeOIkeDCp76J4KK1jM</t>
  </si>
  <si>
    <t>Mustafa özen</t>
  </si>
  <si>
    <t>Radyoloji teknikeri (emar da calisiyorum)</t>
  </si>
  <si>
    <t>mcmkarabulut@gmail.com</t>
  </si>
  <si>
    <t>https://Doktorive.google.com/open?id=18NeD_6JMlPQR3df4p2qTp6hDnte3DSW7</t>
  </si>
  <si>
    <t>Mücahit Mustafa Karabulut</t>
  </si>
  <si>
    <t>nhyanik@gmail.com</t>
  </si>
  <si>
    <t>https://Doktorive.google.com/open?id=1neS1ex-TmXfCSpMnQlonRYz0ILMfiUtC</t>
  </si>
  <si>
    <t>Nazlı Hilal YANIK</t>
  </si>
  <si>
    <t>Sinan</t>
  </si>
  <si>
    <t>serrasencer@gmail.com</t>
  </si>
  <si>
    <t>https://drive.google.com/open?id=1ZTpFJGQJKZ7fzPKL3JQhJERWI5H70Pfm</t>
  </si>
  <si>
    <t>Profesör Doktor</t>
  </si>
  <si>
    <t>Radyoloji A.D ve Nöroradyoloji B. D öğretim üyesi</t>
  </si>
  <si>
    <t>İbrahim Tarık</t>
  </si>
  <si>
    <t xml:space="preserve">15.05.1997, </t>
  </si>
  <si>
    <t>nermineyupoglu@hotmail.com</t>
  </si>
  <si>
    <t>https://drive.google.com/open?id=12GGOKPsxIBfg2rfN0nFDmKAYztKRieQA</t>
  </si>
  <si>
    <t>Nermin Eyüpoğlu</t>
  </si>
  <si>
    <t>Necmettin</t>
  </si>
  <si>
    <t>Yok</t>
  </si>
  <si>
    <t>nesrinsarica@hotmail.com</t>
  </si>
  <si>
    <t>https://drive.google.com/open?id=1a67Qx6oTSUhm6jSiIS9btobDwcdGpJLT</t>
  </si>
  <si>
    <t xml:space="preserve">Habil </t>
  </si>
  <si>
    <t>nu_pelda42@hotmail.com</t>
  </si>
  <si>
    <t>https://drive.google.com/open?id=1W09NscNYxpHSLmLpG5R2H6Nk2KnQzXot</t>
  </si>
  <si>
    <t>Nida karaca</t>
  </si>
  <si>
    <t xml:space="preserve">Feyzi </t>
  </si>
  <si>
    <t>nilufar.gasimli@istanbul.edu.tr</t>
  </si>
  <si>
    <t>https://drive.google.com/open?id=1gvL8R--qAZ078rnH8XVq713_QedGgLR9</t>
  </si>
  <si>
    <t>Nilufar Gasimli</t>
  </si>
  <si>
    <t>Tipta uzmanlik oggencisi</t>
  </si>
  <si>
    <t>Abbas</t>
  </si>
  <si>
    <t>omer337667@gmail.com</t>
  </si>
  <si>
    <t>https://drive.google.com/open?id=11qCgonKE0sAE_CkElF-wYRqdvL6mtAuK</t>
  </si>
  <si>
    <t>Ömer demir</t>
  </si>
  <si>
    <t>acil bt teknikeri</t>
  </si>
  <si>
    <t xml:space="preserve">gürbüz </t>
  </si>
  <si>
    <t>07.07.2010/093</t>
  </si>
  <si>
    <t>babacanonder@gmail.com</t>
  </si>
  <si>
    <t>https://Doktorive.google.com/open?id=1RKYCX9plE31vpmt8hjZhVD_vthP7FAxd</t>
  </si>
  <si>
    <t xml:space="preserve">Önder Babacan </t>
  </si>
  <si>
    <t>Mehmet</t>
  </si>
  <si>
    <t xml:space="preserve">Hatay Mustafa Kemal üniversitesi </t>
  </si>
  <si>
    <t>29.06.2018-0666</t>
  </si>
  <si>
    <t>oykuikizgul@icloud.com</t>
  </si>
  <si>
    <t>https://Doktorive.google.com/open?id=1flbX9E0T7WJ_G9TKAHeXi1iIwa9tCklY</t>
  </si>
  <si>
    <t>Öykü ikizgül</t>
  </si>
  <si>
    <t>05/07/2021 233161</t>
  </si>
  <si>
    <t>ozlemb_kus@hotmail.com</t>
  </si>
  <si>
    <t>https://drive.google.com/open?id=1GS4z7qV349sM3tzRCFUDjFEz4UufV6r1</t>
  </si>
  <si>
    <t>Halil İBrahim</t>
  </si>
  <si>
    <t>07/07/2019.  31474/34942</t>
  </si>
  <si>
    <t>ozlemkayademirbuken@hotmail.com</t>
  </si>
  <si>
    <t>https://drive.google.com/open?id=1iKJNDsnmu8c8OUx_4h-oz7Gj67aIVNdx</t>
  </si>
  <si>
    <t xml:space="preserve">Özlem Demirbüken </t>
  </si>
  <si>
    <t>Tomografi tekniker</t>
  </si>
  <si>
    <t>ramazannazlim72@gmail.com</t>
  </si>
  <si>
    <t>https://drive.google.com/open?id=1aQwF-WizLBMVr68YMvKJ7t85cUoYJlVA</t>
  </si>
  <si>
    <t xml:space="preserve">Ortopedi Röntgen </t>
  </si>
  <si>
    <t xml:space="preserve">Trakya Üniversitesi </t>
  </si>
  <si>
    <t>ravzaylmz@gmail.com</t>
  </si>
  <si>
    <t>https://drive.google.com/open?id=1m0RVy7QZcHGR5xLDTFcY1UwJOokBmYzw</t>
  </si>
  <si>
    <t>Ravza yılmaz</t>
  </si>
  <si>
    <t>Doçent doktor</t>
  </si>
  <si>
    <t xml:space="preserve"> öğretim üyesi</t>
  </si>
  <si>
    <t>Erciyes üniversitesi</t>
  </si>
  <si>
    <t>30.06.2004-3336</t>
  </si>
  <si>
    <t>12.11.2011-97346</t>
  </si>
  <si>
    <t>kutupyildizi034@hotmail.com</t>
  </si>
  <si>
    <t>https://Doktorive.google.com/open?id=1fffW1-jiIjckyE3VqhBaJjOT7DYG-6u4</t>
  </si>
  <si>
    <t>10/09/1992.      583</t>
  </si>
  <si>
    <t>ruslan.mammadzada@istanbul.edu.tr</t>
  </si>
  <si>
    <t>https://drive.google.com/open?id=1zMFw_PBFrjWJGbAkDm02k0nlRpGiyfTV</t>
  </si>
  <si>
    <t>Ruslan Mammadzada</t>
  </si>
  <si>
    <t>Araştırma görevlisi</t>
  </si>
  <si>
    <t>Asistan Dr.</t>
  </si>
  <si>
    <t>Abuzer</t>
  </si>
  <si>
    <t>01.08.2017/ diploma numarası:Cİ-1634 tescil numarası:706557</t>
  </si>
  <si>
    <t>sadikozlem@gmail.com</t>
  </si>
  <si>
    <t>https://Doktorive.google.com/open?id=11Fz_MPN1EZZ0FvbDHQoDsbCbjG0MnWLY</t>
  </si>
  <si>
    <t>Alaattin</t>
  </si>
  <si>
    <t>16.05.2003 - 537</t>
  </si>
  <si>
    <t>sahib.alizade.12@gnail.com</t>
  </si>
  <si>
    <t>https://drive.google.com/open?id=12vxWt4cYNPWQeb9L3hZDgznPnQSr9qS2</t>
  </si>
  <si>
    <t>Sahib Alizada</t>
  </si>
  <si>
    <t>Tıpda uzmanlık öğrencisi</t>
  </si>
  <si>
    <t xml:space="preserve">Asistan </t>
  </si>
  <si>
    <t>Rahman</t>
  </si>
  <si>
    <t>01.10.2021 Cİ-110</t>
  </si>
  <si>
    <t>sdt_onll@hotmail.com</t>
  </si>
  <si>
    <t>https://Doktorive.google.com/open?id=1abML9Om6W1Wc57bhovPrVej12BlcpB9O</t>
  </si>
  <si>
    <t xml:space="preserve">Sedat Önel </t>
  </si>
  <si>
    <t xml:space="preserve">Ameliyatta Skopi ve röntgen teknikerliği </t>
  </si>
  <si>
    <t xml:space="preserve">Kenan </t>
  </si>
  <si>
    <t>07:04/2012.        No. 291</t>
  </si>
  <si>
    <t>drselahattindurmaz@gmail.com</t>
  </si>
  <si>
    <t>https://drive.google.com/open?id=1X75B9lZbv14Tj5VL00fhIb03Zi72LK-G</t>
  </si>
  <si>
    <t>Selahattin Durmaz</t>
  </si>
  <si>
    <t xml:space="preserve">Araştırma Görevlisi </t>
  </si>
  <si>
    <t>Erdoğan</t>
  </si>
  <si>
    <t>07.07.2017/ 15013</t>
  </si>
  <si>
    <t>sselin.ddal@gmail.com</t>
  </si>
  <si>
    <t>https://Doktorive.google.com/open?id=1bxdmTR94ohzVWebgI9-tSBeUq9_W4h8_</t>
  </si>
  <si>
    <t xml:space="preserve">Acil Tomografi Teknisyeni </t>
  </si>
  <si>
    <t>Haydarpaşa Bülent Akarcalı Sağlık Meslek Lisesi</t>
  </si>
  <si>
    <t>14.06.2013/ 2149</t>
  </si>
  <si>
    <t>serkanrad@hotmail.com</t>
  </si>
  <si>
    <t>https://drive.google.com/open?id=1wutXkLcC_BtrKuY4sJ79wjr8mHqaBnF6</t>
  </si>
  <si>
    <t xml:space="preserve">Serkan hacimustafaoglu </t>
  </si>
  <si>
    <t>Saglik teknikeri</t>
  </si>
  <si>
    <t>Mehmet talat</t>
  </si>
  <si>
    <t>21.08.2007/3388</t>
  </si>
  <si>
    <t>sevim.dilber@hotmail.com</t>
  </si>
  <si>
    <t>https://Doktorive.google.com/open?id=15dF5DyT21LaNJJXjN1ZctlOxeIBuO4MQ</t>
  </si>
  <si>
    <t>Sevim Dilber</t>
  </si>
  <si>
    <t>Selim</t>
  </si>
  <si>
    <t>26.06.1995 No:0169</t>
  </si>
  <si>
    <t>sinan.seyrek@istanbul.edu.tr</t>
  </si>
  <si>
    <t>https://drive.google.com/open?id=1GvThF3e1WvSbr6qNLIRsoKid8jNfL5dj</t>
  </si>
  <si>
    <t>22.07.2019. Tes no 216286</t>
  </si>
  <si>
    <t>sese.71@hotmail.com</t>
  </si>
  <si>
    <t>https://drive.google.com/open?id=1PYr9j684ETXlDIE_JIamMHkLqutMzqLK</t>
  </si>
  <si>
    <t>ŞEVVAL DEMİR</t>
  </si>
  <si>
    <t>Rifat</t>
  </si>
  <si>
    <t>ATATÜRK MESLEKİ VE TEKNİK ANADOLU LİSESİ</t>
  </si>
  <si>
    <t>12/06/2015 169</t>
  </si>
  <si>
    <t>suheda.sengul@istanbul.edu.tr</t>
  </si>
  <si>
    <t>https://Doktorive.google.com/open?id=1aDoktortPNjtXGuIvgHJjnO6yCELNvaL6c15</t>
  </si>
  <si>
    <t xml:space="preserve">Şuheda Şengül </t>
  </si>
  <si>
    <t>Mustafa nail</t>
  </si>
  <si>
    <t>15.07.2005/017137</t>
  </si>
  <si>
    <t>smerturk@gmail.com</t>
  </si>
  <si>
    <t>https://Doktorive.google.com/open?id=1cELY1v9GhpIXTHmtjvZUyGbll01GbZAk</t>
  </si>
  <si>
    <t>Hekim - Radyoloji Uzmanı</t>
  </si>
  <si>
    <t>19/10/1994 - Cİ-080</t>
  </si>
  <si>
    <t>10/10/2002 - 58006 71921</t>
  </si>
  <si>
    <t>sukrusarpsahin@gmail.com</t>
  </si>
  <si>
    <t>https://Doktorive.google.com/open?id=1ezUS8m6nP8vIaCS_CyQE4quE9FVyQwhU</t>
  </si>
  <si>
    <t>Cerrahpaşa Tıp Fakültesi</t>
  </si>
  <si>
    <t>07/07/2017 / Cİ-1592</t>
  </si>
  <si>
    <t>siyahakrep_1971@hotmail.com</t>
  </si>
  <si>
    <t>https://Doktorive.google.com/open?id=1HKgfhW6LidsnPgBAi-xqkzbZMMhZk6oy</t>
  </si>
  <si>
    <t>Zihni</t>
  </si>
  <si>
    <t>31.08.1991-98</t>
  </si>
  <si>
    <t>taylangoger@gmail.com</t>
  </si>
  <si>
    <t>https://drive.google.com/open?id=1SHzldgunTabKXzhFAoBtut33wojHjxWw</t>
  </si>
  <si>
    <t>TAYLAN GÖĞER</t>
  </si>
  <si>
    <t xml:space="preserve">SAĞLIK TEKNİKERİ </t>
  </si>
  <si>
    <t xml:space="preserve">MAHMUT </t>
  </si>
  <si>
    <t>17.01.2002 593</t>
  </si>
  <si>
    <t>Hayır</t>
  </si>
  <si>
    <t>tofihaci77@gmail.com</t>
  </si>
  <si>
    <t>https://drive.google.com/open?id=1wNen5VSHtYs5zhYoGTYyd1HYcVPvfRJ4</t>
  </si>
  <si>
    <t>Tofig Hajiyev</t>
  </si>
  <si>
    <t>Rafig</t>
  </si>
  <si>
    <t>Azerbaycan Tıp Üniversitesi</t>
  </si>
  <si>
    <t>30.06.2017   No: 003337</t>
  </si>
  <si>
    <t>tugbabgln@gmail.com</t>
  </si>
  <si>
    <t>https://Doktorive.google.com/open?id=1x9Ja_z1UW3JmafunUo3YGvh_puj7fMxH</t>
  </si>
  <si>
    <t>Atatürk üniverstesi tıp fakultesi</t>
  </si>
  <si>
    <t>30.06.2021   89610</t>
  </si>
  <si>
    <t>tugcecalikoglu@hotmail.com</t>
  </si>
  <si>
    <t>https://Doktorive.google.com/open?id=1RR-Nu1bZo6CDUoBW-_xW0rFP44hUu0A3</t>
  </si>
  <si>
    <t>TUĞÇE ÇALIKOĞLU ESKİ</t>
  </si>
  <si>
    <t>Yavuz</t>
  </si>
  <si>
    <t>29.07.2009 - 072</t>
  </si>
  <si>
    <t>ufukaydgn@gmail.com</t>
  </si>
  <si>
    <t>https://drive.google.com/open?id=1azNa8nEMLt-5c7SEKNFTr6voaI9GIlQe</t>
  </si>
  <si>
    <t>Teknikerlik</t>
  </si>
  <si>
    <t>Ayhan</t>
  </si>
  <si>
    <t>08.07.2010 101</t>
  </si>
  <si>
    <t>kandemirliburak@gmail.com</t>
  </si>
  <si>
    <t>https://drive.google.com/open?id=1-z53E94w_3FOU2tat6dZ4RSdHXrQuJec</t>
  </si>
  <si>
    <t xml:space="preserve">Doktor </t>
  </si>
  <si>
    <t xml:space="preserve">Mithat </t>
  </si>
  <si>
    <t>TEKİRDAĞ NAMIK KEMAL ÜNİVERSİTESİ</t>
  </si>
  <si>
    <t>12.07.2019/ 249</t>
  </si>
  <si>
    <t>vusal_741@yahoo.com</t>
  </si>
  <si>
    <t>https://Doktorive.google.com/open?id=1tSH_QSyUO_cBsDoktor3lAAVF37QHWDnrbJl</t>
  </si>
  <si>
    <t xml:space="preserve">VUSAL MAMMADLİ </t>
  </si>
  <si>
    <t>RAFAİL</t>
  </si>
  <si>
    <t>yasaalp_@hotmail.com</t>
  </si>
  <si>
    <t>https://Doktorive.google.com/open?id=11nDHEtjxzZGcB62apLsOrJNQ0t6mmAWP</t>
  </si>
  <si>
    <t>Yasa</t>
  </si>
  <si>
    <t>Resit</t>
  </si>
  <si>
    <t>13.09.2002 685</t>
  </si>
  <si>
    <t>yavuztaktak@gmail.com</t>
  </si>
  <si>
    <t>https://drive.google.com/open?id=1d4EHo0HSapTWod5_IPH-iTKGaH3pv1ZM</t>
  </si>
  <si>
    <t>Radyolog Öğretim Görevlisi</t>
  </si>
  <si>
    <t>Sait</t>
  </si>
  <si>
    <t>yegana.mamedovaatu@gmail.com</t>
  </si>
  <si>
    <t>https://drive.google.com/open?id=1Q9hxfyk4teIVcpMapJeQuuZDCTvYBOVf</t>
  </si>
  <si>
    <t>Asistan dr</t>
  </si>
  <si>
    <t>Rovshan</t>
  </si>
  <si>
    <t>Azerbaycan tıp universitesi</t>
  </si>
  <si>
    <t>22.06.2019</t>
  </si>
  <si>
    <t>zeynepnurakyol@hotmail.com</t>
  </si>
  <si>
    <t>https://Doktorive.google.com/open?id=1Z64K-DSKOSg0Tyl8X4EwtdsxBK9UaddE</t>
  </si>
  <si>
    <t>ZEYNEP NUR AKYOL SARI</t>
  </si>
  <si>
    <t>SEMİH</t>
  </si>
  <si>
    <t>19/06/2016          30201/33669</t>
  </si>
  <si>
    <t>zeyneptuz@hotmail.com</t>
  </si>
  <si>
    <t>https://Doktorive.google.com/open?id=1O9JkyWkF9EQK3ee7AvLyWnk_BEZCa05c</t>
  </si>
  <si>
    <t>zeynep tuz</t>
  </si>
  <si>
    <t>nezir</t>
  </si>
  <si>
    <t>12/12/2021 32792/36260</t>
  </si>
  <si>
    <t>incezuhal@yahoo.com</t>
  </si>
  <si>
    <t>https://drive.google.com/open?id=1UysmVXPLdZ0CL7qHukCWHqsHr6A_kFb5</t>
  </si>
  <si>
    <t>ZUHAL BAYRAMOĞLU</t>
  </si>
  <si>
    <t>DOÇ. DR.</t>
  </si>
  <si>
    <t>PEDİATRİK RADYOLOJİ UZMANI</t>
  </si>
  <si>
    <t>HAŞİM</t>
  </si>
  <si>
    <t>02/07/2010    27958/31426</t>
  </si>
  <si>
    <t xml:space="preserve">26/06/2018  </t>
  </si>
  <si>
    <t>Çalışanın Adı Soyadı</t>
  </si>
  <si>
    <t>Kadro Ünvanı</t>
  </si>
  <si>
    <t>Kadronuzun Bulunduğu Bölüm / ABD</t>
  </si>
  <si>
    <t>Görev Yeri</t>
  </si>
  <si>
    <t>Sicil No</t>
  </si>
  <si>
    <t>Memuriyet Başlama Tarihi:</t>
  </si>
  <si>
    <t>Abidin önder dönmez</t>
  </si>
  <si>
    <t>Radyodagnostik ABD</t>
  </si>
  <si>
    <t>Radyoloji ABD</t>
  </si>
  <si>
    <t>4209-5297</t>
  </si>
  <si>
    <t xml:space="preserve">Çocuk hastalıkları </t>
  </si>
  <si>
    <t>Sağlık teknikeri radyoloji</t>
  </si>
  <si>
    <t>Radyoloji Anabilim dali</t>
  </si>
  <si>
    <t>Acil cerrahi rontgen</t>
  </si>
  <si>
    <t>4209-7268</t>
  </si>
  <si>
    <t>Arzu Aksüt</t>
  </si>
  <si>
    <t>Sağlık teknisyeni</t>
  </si>
  <si>
    <t>Sağlık kültür spor daire başkanlığı</t>
  </si>
  <si>
    <t>İtf semt polikliniği</t>
  </si>
  <si>
    <t>4200/2371</t>
  </si>
  <si>
    <t>Mr Bölümü / Radyoloji ABD</t>
  </si>
  <si>
    <t xml:space="preserve">İSTANBUL TIP FAKÜLTESİ </t>
  </si>
  <si>
    <t>4209-7299</t>
  </si>
  <si>
    <t xml:space="preserve">Radyoloji </t>
  </si>
  <si>
    <t>4209-7346</t>
  </si>
  <si>
    <t xml:space="preserve">Ayhan Arslanoğlu </t>
  </si>
  <si>
    <t xml:space="preserve">RADYODİAĞNOSTİK ABD </t>
  </si>
  <si>
    <t xml:space="preserve">Radyoloji Ana Bilim Dalı </t>
  </si>
  <si>
    <t>4209-6130</t>
  </si>
  <si>
    <t xml:space="preserve">Berna Tomaç </t>
  </si>
  <si>
    <t>Radyoloji Ana Bilim Dalı</t>
  </si>
  <si>
    <t>Radyoloji</t>
  </si>
  <si>
    <t>4209-7289</t>
  </si>
  <si>
    <t>Acil Röntgen</t>
  </si>
  <si>
    <t>SZ-3029</t>
  </si>
  <si>
    <t>Acil röntgen</t>
  </si>
  <si>
    <t>SZ-3455</t>
  </si>
  <si>
    <t>RADYOLOJİ A.B.D</t>
  </si>
  <si>
    <t>İSTANBUL TIP FAKÜLTESİ BT-1</t>
  </si>
  <si>
    <t>SZ-3481</t>
  </si>
  <si>
    <t>Acil Tomografi</t>
  </si>
  <si>
    <t>4209-6919</t>
  </si>
  <si>
    <t xml:space="preserve">Cemil Oğuzcan </t>
  </si>
  <si>
    <t>4209-7291</t>
  </si>
  <si>
    <t>CÜNEYT HEBİP</t>
  </si>
  <si>
    <t xml:space="preserve">Sağlık Teknisyeni </t>
  </si>
  <si>
    <t xml:space="preserve">Radyodiagnostik A.B.D </t>
  </si>
  <si>
    <t>Bilgisayarlı Tomografi</t>
  </si>
  <si>
    <t>4209-7191</t>
  </si>
  <si>
    <t>Radiagnostik Anabilim Dali</t>
  </si>
  <si>
    <t>4209-7086</t>
  </si>
  <si>
    <t>4209-6985</t>
  </si>
  <si>
    <t xml:space="preserve">Dilek Buzakoğlu </t>
  </si>
  <si>
    <t xml:space="preserve">Radyoloji Anabilim Dalı </t>
  </si>
  <si>
    <t xml:space="preserve">İstanbul Tıp Fakültesi </t>
  </si>
  <si>
    <t>4209-7210</t>
  </si>
  <si>
    <t xml:space="preserve">Acil Tomografi </t>
  </si>
  <si>
    <t>SZ-3458</t>
  </si>
  <si>
    <t>Radyoloji Anabilimdalı</t>
  </si>
  <si>
    <t>Radyoloji/Röntgen</t>
  </si>
  <si>
    <t>4209-7190</t>
  </si>
  <si>
    <t>Radyoloji/Rötgen</t>
  </si>
  <si>
    <t xml:space="preserve">Erdal Ağbulut </t>
  </si>
  <si>
    <t xml:space="preserve">Göğüs hastalıkları </t>
  </si>
  <si>
    <t>4209-4979</t>
  </si>
  <si>
    <t>SZ-2995</t>
  </si>
  <si>
    <t>Fatih selamet tartıcı</t>
  </si>
  <si>
    <t>Radyoloji abd</t>
  </si>
  <si>
    <t>4209-7376</t>
  </si>
  <si>
    <t>Sağlık Teknkeri</t>
  </si>
  <si>
    <t>İTF Radyoloji ABD</t>
  </si>
  <si>
    <t>Acil Rintgen</t>
  </si>
  <si>
    <t>4209-7243</t>
  </si>
  <si>
    <t xml:space="preserve">Radyoloji Anabilim dalı </t>
  </si>
  <si>
    <t>4209-7563</t>
  </si>
  <si>
    <t>Sağlık tekn</t>
  </si>
  <si>
    <t>Radyoloji  /Radyodiagnostik ABD</t>
  </si>
  <si>
    <t>Acil BT</t>
  </si>
  <si>
    <t>4209-7381</t>
  </si>
  <si>
    <t xml:space="preserve">Hasan Taş </t>
  </si>
  <si>
    <t xml:space="preserve">Röntgen Teknisyeni </t>
  </si>
  <si>
    <t>Sz-3352</t>
  </si>
  <si>
    <t xml:space="preserve">Hilmi Demirci </t>
  </si>
  <si>
    <t>4209 5743</t>
  </si>
  <si>
    <t>Sağlık teknikeri / Radyoloji teknikeri</t>
  </si>
  <si>
    <t xml:space="preserve">29 mayıs KKB Tomografi </t>
  </si>
  <si>
    <t>4209 - 7320</t>
  </si>
  <si>
    <t>SZ-3184</t>
  </si>
  <si>
    <t>4209-6982</t>
  </si>
  <si>
    <t xml:space="preserve">Acil tomografi </t>
  </si>
  <si>
    <t>SZ-3186</t>
  </si>
  <si>
    <t>Laborant sağlık hizmetleri röntgen tekn.</t>
  </si>
  <si>
    <t>Radyoloji Anabilim Dalı</t>
  </si>
  <si>
    <t>Acil Radyoloji</t>
  </si>
  <si>
    <t>4209-5133</t>
  </si>
  <si>
    <t>Radyodiagnostik ABD</t>
  </si>
  <si>
    <t>mr</t>
  </si>
  <si>
    <t>4209-5580</t>
  </si>
  <si>
    <t>Radiodiagnostik ABD</t>
  </si>
  <si>
    <t>MR</t>
  </si>
  <si>
    <t xml:space="preserve">Kadriye Karaca </t>
  </si>
  <si>
    <t>4209-5740</t>
  </si>
  <si>
    <t>Kadriye yılmaz</t>
  </si>
  <si>
    <t>4209_7403</t>
  </si>
  <si>
    <t xml:space="preserve">Acil radyoloji </t>
  </si>
  <si>
    <t>SZ-3494</t>
  </si>
  <si>
    <t>MEHMET KÜSKÜ</t>
  </si>
  <si>
    <t>RADYOLOJI ABD</t>
  </si>
  <si>
    <t>ACİL CERRAHİ RÖNTGEN</t>
  </si>
  <si>
    <t>4209-7260</t>
  </si>
  <si>
    <t>Melek Ünal öneş</t>
  </si>
  <si>
    <t>4209-7395</t>
  </si>
  <si>
    <t xml:space="preserve">Mesut Özbek </t>
  </si>
  <si>
    <t>Diğer Sağlık personeli (Radyoloji Teknisyeni)</t>
  </si>
  <si>
    <t>SZ-2994</t>
  </si>
  <si>
    <t xml:space="preserve">Murat Yılmaz </t>
  </si>
  <si>
    <t>4209-7580</t>
  </si>
  <si>
    <t>Radyoloji anabilim dalı</t>
  </si>
  <si>
    <t>Emar birimi</t>
  </si>
  <si>
    <t>4209-7282</t>
  </si>
  <si>
    <t>Münevver Kök</t>
  </si>
  <si>
    <t>Eskişehir Osmangazi üniversitesi(Geçici görevlendirme)</t>
  </si>
  <si>
    <t>4200-3673</t>
  </si>
  <si>
    <t>Sz-3182</t>
  </si>
  <si>
    <t>Röntgen teknisyeni</t>
  </si>
  <si>
    <t>İstanbul Üniversitesi Tıp Fakültesi Radyolöji  Bölümü</t>
  </si>
  <si>
    <t>Radyolöji</t>
  </si>
  <si>
    <t xml:space="preserve"> 4209-6206</t>
  </si>
  <si>
    <t>Sağlık Tekniker</t>
  </si>
  <si>
    <t>4209-7323</t>
  </si>
  <si>
    <t>radyoloji abd</t>
  </si>
  <si>
    <t xml:space="preserve">İstanbul tıp fakültesi </t>
  </si>
  <si>
    <t>4209-7099</t>
  </si>
  <si>
    <t xml:space="preserve">Ramazan nazlım </t>
  </si>
  <si>
    <t xml:space="preserve">Sağlık teknikleri </t>
  </si>
  <si>
    <t xml:space="preserve">Ortopedi röntgen </t>
  </si>
  <si>
    <t>4209/5610</t>
  </si>
  <si>
    <t xml:space="preserve">Resul Usul </t>
  </si>
  <si>
    <t>Mr/Radyoloji</t>
  </si>
  <si>
    <t>Mr</t>
  </si>
  <si>
    <t>4209-5312</t>
  </si>
  <si>
    <t xml:space="preserve">Sadık Özlem </t>
  </si>
  <si>
    <t>Radyodiagnostik</t>
  </si>
  <si>
    <t>MRG Birimi</t>
  </si>
  <si>
    <t>4209-7285</t>
  </si>
  <si>
    <t xml:space="preserve">Radyoloji anabilim dalı </t>
  </si>
  <si>
    <t xml:space="preserve">Ortopedi anabilim dalı ameliyathanesi </t>
  </si>
  <si>
    <t>4209-7298</t>
  </si>
  <si>
    <t>SELİN DAL</t>
  </si>
  <si>
    <t>SZ-3185</t>
  </si>
  <si>
    <t xml:space="preserve">SERKAN HACİMUSTAFAOGLU </t>
  </si>
  <si>
    <t>Radyoloji tekn</t>
  </si>
  <si>
    <t>4209-7196</t>
  </si>
  <si>
    <t xml:space="preserve">Sevim Dilber </t>
  </si>
  <si>
    <t xml:space="preserve">Ortopedi </t>
  </si>
  <si>
    <t>4209 6796</t>
  </si>
  <si>
    <t xml:space="preserve">Diğer Sağlık Personeli </t>
  </si>
  <si>
    <t>SZ-2996</t>
  </si>
  <si>
    <t>Tomografi BT1</t>
  </si>
  <si>
    <t>4209-6784</t>
  </si>
  <si>
    <t xml:space="preserve">TAYLAN GÖĞER </t>
  </si>
  <si>
    <t>MR-BT/ RADYOLOJİ ANABİLİM DALI</t>
  </si>
  <si>
    <t xml:space="preserve">RADYOLOJİ MR-BT DEPARTMANI </t>
  </si>
  <si>
    <t>4209-7171</t>
  </si>
  <si>
    <t>RADYOLOJİ ABD</t>
  </si>
  <si>
    <t>4209/7056</t>
  </si>
  <si>
    <t>Yasa alp</t>
  </si>
  <si>
    <t>4209-6797</t>
  </si>
  <si>
    <t>4149-7113</t>
  </si>
  <si>
    <t>Sütun1</t>
  </si>
  <si>
    <t xml:space="preserve">Afyonkarahisar </t>
  </si>
  <si>
    <t>Araştırma Görevlisi (Kurum Dışı)</t>
  </si>
  <si>
    <t>Diğer Personel (Ş)</t>
  </si>
  <si>
    <t>Hastabakıcı</t>
  </si>
  <si>
    <t>Bilgisayar İşletmeni</t>
  </si>
  <si>
    <t>Büro Personeli (Sözleşmeli)</t>
  </si>
  <si>
    <t>Uzmanlık Öğrencisi Doktor</t>
  </si>
  <si>
    <t>Ebe</t>
  </si>
  <si>
    <t>Uzman Tabib</t>
  </si>
  <si>
    <t>Hemşire</t>
  </si>
  <si>
    <t>Şef</t>
  </si>
  <si>
    <t>Sağlık Memuru</t>
  </si>
  <si>
    <t>Hastane Hizmetlisi (İşçi)</t>
  </si>
  <si>
    <t>Destek Personeli -Hasta Bakımı(Sözleşmeli)</t>
  </si>
  <si>
    <t>Fizikçi</t>
  </si>
  <si>
    <t>Destek Personeli-(Sözleşmeli)</t>
  </si>
  <si>
    <t>Vasıfsız İşçi (İşçi)</t>
  </si>
  <si>
    <t>Doçent</t>
  </si>
  <si>
    <t>Doktor Öğretim Üyesi</t>
  </si>
  <si>
    <t>Sağlık Teknikeri (Sözleşmeli)</t>
  </si>
  <si>
    <t>Hizmetli</t>
  </si>
  <si>
    <t>Sağlık Teknikeri (Kurum Dışı)</t>
  </si>
  <si>
    <t>Teknisyen Yardımcısı</t>
  </si>
  <si>
    <t>Yeşilova</t>
  </si>
  <si>
    <t>Van</t>
  </si>
  <si>
    <t>Kaldırımbaşı</t>
  </si>
  <si>
    <t>Bakırköy</t>
  </si>
  <si>
    <t>İstanbul</t>
  </si>
  <si>
    <t>Samsun</t>
  </si>
  <si>
    <t>Tokat</t>
  </si>
  <si>
    <t>Ankara</t>
  </si>
  <si>
    <t>Besni</t>
  </si>
  <si>
    <t>Balıkesir</t>
  </si>
  <si>
    <t>Erzurum</t>
  </si>
  <si>
    <t>Ordu</t>
  </si>
  <si>
    <t>Silivri</t>
  </si>
  <si>
    <t>Kahramanmaraş</t>
  </si>
  <si>
    <t>Çanakkale</t>
  </si>
  <si>
    <t>Manisa</t>
  </si>
  <si>
    <t>Kemah</t>
  </si>
  <si>
    <t>İzmit</t>
  </si>
  <si>
    <t>Gaziantep</t>
  </si>
  <si>
    <t>Borçka</t>
  </si>
  <si>
    <t>Batman</t>
  </si>
  <si>
    <t>Şanlıurfa</t>
  </si>
  <si>
    <t>KANGAL</t>
  </si>
  <si>
    <t>İzmir</t>
  </si>
  <si>
    <t>Boyabat</t>
  </si>
  <si>
    <t>İsviçre</t>
  </si>
  <si>
    <t>Tarsus</t>
  </si>
  <si>
    <t>Yalova</t>
  </si>
  <si>
    <t>ERGANİ</t>
  </si>
  <si>
    <t>Kırşehir</t>
  </si>
  <si>
    <t>BEYPAZARI</t>
  </si>
  <si>
    <t>Adıyaman</t>
  </si>
  <si>
    <t>Düzce</t>
  </si>
  <si>
    <t>Karamürsel</t>
  </si>
  <si>
    <t>Kocaali</t>
  </si>
  <si>
    <t>Osmangazi</t>
  </si>
  <si>
    <t>ANTAKYA</t>
  </si>
  <si>
    <t>DİYARBAKIR</t>
  </si>
  <si>
    <t>Kayseri</t>
  </si>
  <si>
    <t>Istanbul</t>
  </si>
  <si>
    <t>Hatay</t>
  </si>
  <si>
    <t xml:space="preserve">Yüreğir </t>
  </si>
  <si>
    <t>Bursa</t>
  </si>
  <si>
    <t>Bulgaristan</t>
  </si>
  <si>
    <t>Elazığ</t>
  </si>
  <si>
    <t>Nahcivan</t>
  </si>
  <si>
    <t>Erzincan</t>
  </si>
  <si>
    <t>Savaştepe</t>
  </si>
  <si>
    <t>Zerdab</t>
  </si>
  <si>
    <t>Azerbaycan</t>
  </si>
  <si>
    <t>Kiziltepe</t>
  </si>
  <si>
    <t>Almanya</t>
  </si>
  <si>
    <t>Malatya</t>
  </si>
  <si>
    <t>Beyşehir</t>
  </si>
  <si>
    <t>Cizre</t>
  </si>
  <si>
    <t>Mersin</t>
  </si>
  <si>
    <t>Rize</t>
  </si>
  <si>
    <t>AZERBAYCAN</t>
  </si>
  <si>
    <t>Sütun2</t>
  </si>
  <si>
    <t xml:space="preserve">İst. Üni. </t>
  </si>
  <si>
    <t>İstanbul üniversitesi</t>
  </si>
  <si>
    <t>İstanbul Üniversitesi</t>
  </si>
  <si>
    <t>Tıp Fakültesi</t>
  </si>
  <si>
    <t>İstanbul universitesi</t>
  </si>
  <si>
    <t>MARMARA ÜNİVERSİTESİ</t>
  </si>
  <si>
    <t>Ankara üniversitesi</t>
  </si>
  <si>
    <t>Gazi üniversitesi</t>
  </si>
  <si>
    <t>Çukurova Üniversitesi</t>
  </si>
  <si>
    <t>Ankara Üniversitesi</t>
  </si>
  <si>
    <t>Eskişehir Osmangazi Üniversitesi</t>
  </si>
  <si>
    <t>Karadeniz Teknik Üniversitesi</t>
  </si>
  <si>
    <t>Uludağ Üniversitesi</t>
  </si>
  <si>
    <t>Bursa Sağ. Hiz. Mes. YO Radyoloji Bölümü</t>
  </si>
  <si>
    <t>Sağ. Hiz. Mes. YO Radyoloji Bölümü</t>
  </si>
  <si>
    <t>Nişantaşı üniversitesi</t>
  </si>
  <si>
    <t>Ege Üniversitesi</t>
  </si>
  <si>
    <t>Atatürk Sağ. Hiz. Mes. YO Radyoloji Bölümü</t>
  </si>
  <si>
    <t>Marmara Üniversitesi</t>
  </si>
  <si>
    <t>İstanbul bilim üniversitesi</t>
  </si>
  <si>
    <t>İstabul universitesi</t>
  </si>
  <si>
    <t>Nişantaşı Üniversitesi</t>
  </si>
  <si>
    <t>Tıbbi Görüntüleme M.Y.0</t>
  </si>
  <si>
    <t>Cerrahpaşa Sağ. Hiz. Mes. YO Radyoloji Bölümü</t>
  </si>
  <si>
    <t xml:space="preserve">Cerrahpaşa tıp fakültesi </t>
  </si>
  <si>
    <t xml:space="preserve">Marmara üniversitesi </t>
  </si>
  <si>
    <t>Sağ. Hiz. Mes. YO Tıbbi Görüntüleme Teknikeri</t>
  </si>
  <si>
    <t>29.08.2020 57519</t>
  </si>
  <si>
    <t>Cerrahpaşa tıp fakültesi</t>
  </si>
  <si>
    <t>Adana Sağ. Hiz. Mes. YO</t>
  </si>
  <si>
    <t>Cazsrvivkfkkpk_mmkzkabehpaşa tıp fakültesi</t>
  </si>
  <si>
    <t>İstanbul Tıp Fakflltesi</t>
  </si>
  <si>
    <t>Haydar paşa Sağ. Hiz. Mes. YO Radyoloji Bölümü</t>
  </si>
  <si>
    <t>CERRAHPAŞA TIP FAKÜLTESİ</t>
  </si>
  <si>
    <t>Yeni Yüzyıl Üniversitesi</t>
  </si>
  <si>
    <t>Dokuz Eylül Üniversitesi</t>
  </si>
  <si>
    <t>Selçuk Üniversitesi</t>
  </si>
  <si>
    <t>Bakırköy sağlık meslek lisesi</t>
  </si>
  <si>
    <t>Radyoloji Bölümü</t>
  </si>
  <si>
    <t>Başkent Üniversitesi</t>
  </si>
  <si>
    <t>Hacettepe Universitesi</t>
  </si>
  <si>
    <t>Biruni Üniversitesi</t>
  </si>
  <si>
    <t>Van Sağ. Hiz. Mes. YO Radyoloji Bölümü</t>
  </si>
  <si>
    <t>YÜZÜNCÜ YIL ÜNİVERSİTESİ</t>
  </si>
  <si>
    <t>Bezmialem Vakıf Üniversitesi</t>
  </si>
  <si>
    <t>Aydın Üniversitesi</t>
  </si>
  <si>
    <t>Firat üniversitesi</t>
  </si>
  <si>
    <t>Azerbaycan Tip Universitesi</t>
  </si>
  <si>
    <t>İstanbul bilim üniversitesi radyoloji</t>
  </si>
  <si>
    <t>Bahçeşehir universitesi</t>
  </si>
  <si>
    <t>Trakya üniversitesi</t>
  </si>
  <si>
    <t>İstanbul  üniversitesi cerrahpaşa</t>
  </si>
  <si>
    <t>Van yüzüncüyıl üniversitesi</t>
  </si>
  <si>
    <t>Trakya universitesi</t>
  </si>
  <si>
    <t>Osmangazi Üniversitesi</t>
  </si>
  <si>
    <t>Karadeniz teknik üniversitesi</t>
  </si>
  <si>
    <t>İstanbul Bilim Üniversitesi</t>
  </si>
  <si>
    <t>İSTANBUL BİLİM ÜNİVERSİTESİ</t>
  </si>
  <si>
    <t>ATATÜRK ÜNİVERSİTESİ</t>
  </si>
  <si>
    <t>Sütun4</t>
  </si>
  <si>
    <t>31474/34942</t>
  </si>
  <si>
    <t>Cİ-1634</t>
  </si>
  <si>
    <t>Cİ-110</t>
  </si>
  <si>
    <t>Cİ-080</t>
  </si>
  <si>
    <t>Cİ-1592</t>
  </si>
  <si>
    <t>24838-28306</t>
  </si>
  <si>
    <t>2020-09-0346</t>
  </si>
  <si>
    <t>0601.57</t>
  </si>
  <si>
    <t>30093/33561</t>
  </si>
  <si>
    <t>2020-09-0049</t>
  </si>
  <si>
    <t xml:space="preserve"> 17HM0026</t>
  </si>
  <si>
    <t>21852/25320</t>
  </si>
  <si>
    <t>31987/35455</t>
  </si>
  <si>
    <t xml:space="preserve"> 2021A350516044</t>
  </si>
  <si>
    <t>2018A350597982</t>
  </si>
  <si>
    <t>22.0738/04953</t>
  </si>
  <si>
    <t>30186/33654</t>
  </si>
  <si>
    <t>31373/34841</t>
  </si>
  <si>
    <t>2015A350507981</t>
  </si>
  <si>
    <t>30779-34247</t>
  </si>
  <si>
    <t>Cİ-1630</t>
  </si>
  <si>
    <t>2014A350509028</t>
  </si>
  <si>
    <t>32343/35811</t>
  </si>
  <si>
    <t>DR243724</t>
  </si>
  <si>
    <t>31304/34772</t>
  </si>
  <si>
    <t>24294/27262</t>
  </si>
  <si>
    <t>26256/29724</t>
  </si>
  <si>
    <t>Cİ-1837</t>
  </si>
  <si>
    <t>21722-25190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</si>
</sst>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u/>
      <sz val="10"/>
      <color rgb="FF0000FF"/>
      <name val="Arial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/>
    </xf>
    <xf numFmtId="0" fontId="19" fillId="0" borderId="0" xfId="0" applyFont="1"/>
    <xf numFmtId="0" fontId="18" fillId="0" borderId="0" xfId="0" quotePrefix="1" applyFont="1"/>
    <xf numFmtId="14" fontId="18" fillId="0" borderId="0" xfId="0" applyNumberFormat="1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" fontId="18" fillId="0" borderId="0" xfId="0" applyNumberFormat="1" applyFont="1"/>
    <xf numFmtId="14" fontId="18" fillId="0" borderId="0" xfId="0" quotePrefix="1" applyNumberFormat="1" applyFont="1"/>
    <xf numFmtId="3" fontId="18" fillId="0" borderId="0" xfId="0" applyNumberFormat="1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family val="2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59BDC-E6A0-4146-B70D-5057694A27CD}" name="Tablo1" displayName="Tablo1" ref="A1:AD188" totalsRowShown="0">
  <autoFilter ref="A1:AD188" xr:uid="{FFC59BDC-E6A0-4146-B70D-5057694A27CD}"/>
  <tableColumns count="30">
    <tableColumn id="1" xr3:uid="{F54D0657-6B53-488C-8FCF-4C15EDFB371E}" name="KimlikNo" dataDxfId="32"/>
    <tableColumn id="2" xr3:uid="{F83CEC0E-48DF-40BF-AA8E-164C76E89B9C}" name="AdSoyad"/>
    <tableColumn id="3" xr3:uid="{72365BD4-3099-42F9-8093-0B6883BD926F}" name="DogumYeri" dataDxfId="31">
      <calculatedColumnFormula>VLOOKUP(Personel!A2,denem!A:AC,8,0)</calculatedColumnFormula>
    </tableColumn>
    <tableColumn id="4" xr3:uid="{DD837B02-C43F-455F-BE32-8B944B37B684}" name="DogumTarihi" dataDxfId="30">
      <calculatedColumnFormula>VLOOKUP(Personel!A2,denem!A:AC,9,0)</calculatedColumnFormula>
    </tableColumn>
    <tableColumn id="5" xr3:uid="{9C1A034D-5EAF-4FC7-89D8-4828E48EA99B}" name="HizmetSinifi"/>
    <tableColumn id="6" xr3:uid="{01B8E418-6128-4624-9BEF-C7F066AC4B2A}" name="KadroUnvani"/>
    <tableColumn id="7" xr3:uid="{D225C77F-3B3D-437D-916E-B480744A0F50}" name="GorevYeri" dataDxfId="29"/>
    <tableColumn id="8" xr3:uid="{5382AEED-0F39-49C2-9555-F5EF1612D063}" name="KurumSicilNo" dataDxfId="28"/>
    <tableColumn id="9" xr3:uid="{1D3E8D19-2839-4DBC-ACB4-23155261D3E2}" name="MemuriyeteBaslamaTarihi" dataDxfId="27"/>
    <tableColumn id="10" xr3:uid="{7B2E1D34-B323-4915-82E7-371D8B8E653A}" name="CepTelefonu"/>
    <tableColumn id="11" xr3:uid="{6694C61E-975E-478C-B1C3-C1D3886203E3}" name="Eposta"/>
    <tableColumn id="12" xr3:uid="{0169C3C1-C35F-45BB-9ADD-6E0F6ED71D37}" name="MezunOlunanOkul" dataDxfId="26">
      <calculatedColumnFormula>PROPER(VLOOKUP(Personel!A2,denem!A:AC,10,0))</calculatedColumnFormula>
    </tableColumn>
    <tableColumn id="13" xr3:uid="{2A4BA821-29E5-40DF-80DC-340526C79246}" name="MezunOlunanFakulte" dataDxfId="25">
      <calculatedColumnFormula>PROPER(VLOOKUP(Personel!A2,denem!A:AC,11,0))</calculatedColumnFormula>
    </tableColumn>
    <tableColumn id="14" xr3:uid="{07BAD75E-C133-4411-BA28-6558E46CD229}" name="MezuniyetTarihi" dataDxfId="24">
      <calculatedColumnFormula>VLOOKUP(Personel!A2,denem!A:AC,12,0)</calculatedColumnFormula>
    </tableColumn>
    <tableColumn id="15" xr3:uid="{6E7DB769-5D5E-43C6-B985-61F93D763DCC}" name="DiplomaNo">
      <calculatedColumnFormula>PROPER(VLOOKUP(Personel!A2,denem!A:AC,13,0))</calculatedColumnFormula>
    </tableColumn>
    <tableColumn id="16" xr3:uid="{99E5E4E6-DF6D-433A-A478-5C278F94DEC6}" name="MezunOlunanOkul2"/>
    <tableColumn id="17" xr3:uid="{9AD2F578-80D3-45FA-AD90-C076FE45BD9A}" name="MezunOlunanFakulte2"/>
    <tableColumn id="18" xr3:uid="{E0F94EAC-CEDB-4E74-B5EA-9BEE424C7127}" name="MezuniyetTarihi2"/>
    <tableColumn id="19" xr3:uid="{AAD373CB-2FA6-4D3C-9EBD-7A27981BB8F6}" name="DiplomaNo2"/>
    <tableColumn id="20" xr3:uid="{0DC5BDA9-A148-4460-9EF6-1A7254405B4D}" name="Resim"/>
    <tableColumn id="21" xr3:uid="{25F0359A-EA48-4944-AD65-6FA654650DCE}" name="Diploma1"/>
    <tableColumn id="22" xr3:uid="{56927573-C315-445B-BFB4-32FEBFE133E5}" name="Diploma2"/>
    <tableColumn id="23" xr3:uid="{9BFF11E7-DF8D-4B14-B044-A24587BD7B65}" name="OzlukDosyasi"/>
    <tableColumn id="24" xr3:uid="{C084B134-A81E-4FA4-B378-7C05A6B04707}" name="Durum"/>
    <tableColumn id="25" xr3:uid="{82886DA2-CC6E-4177-A06D-47F268C1D4CC}" name="AyrilisTarihi"/>
    <tableColumn id="26" xr3:uid="{28334FE0-58BF-4B82-909D-200EC0036D38}" name="AyrilmaNedeni"/>
    <tableColumn id="27" xr3:uid="{7B68DB62-CBF1-4191-8D06-427E47D8A810}" name="MuayeneTarihi"/>
    <tableColumn id="28" xr3:uid="{C3A3E0A1-62DA-44D6-AE7B-024A790AA211}" name="Sonuc"/>
    <tableColumn id="29" xr3:uid="{21E21B3D-9530-49E6-B29A-3034F8EDA406}" name="sync_status"/>
    <tableColumn id="30" xr3:uid="{BD30E11B-6CE9-4C63-A36F-A756B5B054D3}" name="updated_a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370D8-D6E4-4DF0-A65A-E138A8D3E4EA}" name="Tablo2" displayName="Tablo2" ref="A1:N119" totalsRowShown="0" headerRowDxfId="23" dataDxfId="22">
  <autoFilter ref="A1:N119" xr:uid="{D5D370D8-D6E4-4DF0-A65A-E138A8D3E4EA}"/>
  <tableColumns count="14">
    <tableColumn id="1" xr3:uid="{CA218D20-9D44-48F9-9928-285D175D3AFF}" name="T.C. Kimlik No" dataDxfId="21"/>
    <tableColumn id="2" xr3:uid="{588BAA79-DAEF-471B-B7FB-43ADE64E3B39}" name="Ad Soyad" dataDxfId="20"/>
    <tableColumn id="3" xr3:uid="{0D2DB5E9-59FC-4C1A-A44F-C12CD852F599}" name="E-posta Adresi" dataDxfId="19"/>
    <tableColumn id="4" xr3:uid="{1048C033-182E-4D58-88B7-0947EF9B7A00}" name="Vesikalık Fotograf" dataDxfId="18"/>
    <tableColumn id="5" xr3:uid="{EF5838C3-EF18-4FDA-B984-3777AE912E08}" name="Unvanı" dataDxfId="17"/>
    <tableColumn id="6" xr3:uid="{B0F4B7CF-D06D-4761-B484-7D267DFD79B5}" name="Görevi" dataDxfId="16"/>
    <tableColumn id="7" xr3:uid="{A58DB5FC-E80D-4FAC-8F9B-DC42435F846D}" name="Baba Adı" dataDxfId="15"/>
    <tableColumn id="8" xr3:uid="{E1EA4335-C8B0-49FA-85F2-BC0555637D18}" name="Doğum Yeri / Tarihi" dataDxfId="14"/>
    <tableColumn id="12" xr3:uid="{DE69795D-2733-4099-8EA0-F01E824BA34A}" name="Sütun1" dataDxfId="13"/>
    <tableColumn id="9" xr3:uid="{BC2BFB70-E988-493A-902E-41F84464A8CD}" name="Mezun Olduğu Okul / Yüksek Okul / Fakülte" dataDxfId="12"/>
    <tableColumn id="13" xr3:uid="{42FA5CB4-0D38-4795-BCE4-E4A6BAD30A05}" name="Sütun2" dataDxfId="11"/>
    <tableColumn id="10" xr3:uid="{98B49ED8-3BE0-4DFD-A5A3-072E9F1FAC37}" name="Diploma Tarih ve No" dataDxfId="10"/>
    <tableColumn id="15" xr3:uid="{F18E9C0A-67EF-46CD-902E-5EC213AE394C}" name="Sütun4" dataDxfId="9"/>
    <tableColumn id="11" xr3:uid="{6985D892-5078-4643-A6A1-3B21B500988E}" name="Uzmanlık Belgesi Tarih ve No (Varsa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93F66-1E53-4144-B516-3D828965D961}" name="Tablo3" displayName="Tablo3" ref="A1:G63" totalsRowShown="0" headerRowDxfId="8" dataDxfId="7">
  <autoFilter ref="A1:G63" xr:uid="{7B493F66-1E53-4144-B516-3D828965D961}"/>
  <tableColumns count="7">
    <tableColumn id="1" xr3:uid="{433B8B05-ABCD-4461-933E-EE136BFD77A7}" name="T.C. Kimlik No" dataDxfId="6"/>
    <tableColumn id="2" xr3:uid="{C2DD57CC-107D-41D6-905B-0690615F9FDB}" name="Çalışanın Adı Soyadı" dataDxfId="5"/>
    <tableColumn id="3" xr3:uid="{7546616C-E673-4708-9ACA-B7D258D862BA}" name="Kadro Ünvanı" dataDxfId="4"/>
    <tableColumn id="4" xr3:uid="{62AE3C7F-F137-40F4-ACF8-843384883BA2}" name="Kadronuzun Bulunduğu Bölüm / ABD" dataDxfId="3"/>
    <tableColumn id="5" xr3:uid="{A793B032-B907-4DA3-85FE-42F8FB14F599}" name="Görev Yeri" dataDxfId="2"/>
    <tableColumn id="6" xr3:uid="{7A8BEF47-C100-45F1-A20C-C7D07424CB15}" name="Sicil No" dataDxfId="1"/>
    <tableColumn id="7" xr3:uid="{CB0FE980-94B1-4B35-8079-4FAA04B734B2}" name="Memuriyet Başlama Tarihi: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90nK3W9YoxQ_9HHkcdCkcqyB-4oDa7CQ" TargetMode="External"/><Relationship Id="rId117" Type="http://schemas.openxmlformats.org/officeDocument/2006/relationships/hyperlink" Target="https://drive.google.com/open?id=1O9JkyWkF9EQK3ee7AvLyWnk_BEZCa05c" TargetMode="External"/><Relationship Id="rId21" Type="http://schemas.openxmlformats.org/officeDocument/2006/relationships/hyperlink" Target="https://drive.google.com/open?id=15Ma7gPrlG2GKIrDICvMdomiTI4GiGbhA" TargetMode="External"/><Relationship Id="rId42" Type="http://schemas.openxmlformats.org/officeDocument/2006/relationships/hyperlink" Target="https://drive.google.com/open?id=1hnDyDQoIdDQyyJPsnEcEiJiWDVfq7LN8" TargetMode="External"/><Relationship Id="rId47" Type="http://schemas.openxmlformats.org/officeDocument/2006/relationships/hyperlink" Target="https://drive.google.com/open?id=10RVKHrLWmi5sSNqdlnRFWlkvJ-bf6pfK" TargetMode="External"/><Relationship Id="rId63" Type="http://schemas.openxmlformats.org/officeDocument/2006/relationships/hyperlink" Target="https://drive.google.com/open?id=15vo1Pr8umv5bESdjbGUkUo7UaUXmanVs" TargetMode="External"/><Relationship Id="rId68" Type="http://schemas.openxmlformats.org/officeDocument/2006/relationships/hyperlink" Target="https://drive.google.com/open?id=1YFDMGFe_pZkm3XN-VbjIzB3SpVuT80wB" TargetMode="External"/><Relationship Id="rId84" Type="http://schemas.openxmlformats.org/officeDocument/2006/relationships/hyperlink" Target="https://drive.google.com/open?id=11qCgonKE0sAE_CkElF-wYRqdvL6mtAuK" TargetMode="External"/><Relationship Id="rId89" Type="http://schemas.openxmlformats.org/officeDocument/2006/relationships/hyperlink" Target="https://drive.google.com/open?id=1aQwF-WizLBMVr68YMvKJ7t85cUoYJlVA" TargetMode="External"/><Relationship Id="rId112" Type="http://schemas.openxmlformats.org/officeDocument/2006/relationships/hyperlink" Target="https://drive.google.com/open?id=1tSH_QSyUO_cBsdr3lAAVF37QHWDnrbJl" TargetMode="External"/><Relationship Id="rId16" Type="http://schemas.openxmlformats.org/officeDocument/2006/relationships/hyperlink" Target="https://drive.google.com/open?id=1Yp4VgQ2ek-iKXFBgnUvjr42MbzbDIchT" TargetMode="External"/><Relationship Id="rId107" Type="http://schemas.openxmlformats.org/officeDocument/2006/relationships/hyperlink" Target="https://drive.google.com/open?id=1wNen5VSHtYs5zhYoGTYyd1HYcVPvfRJ4" TargetMode="External"/><Relationship Id="rId11" Type="http://schemas.openxmlformats.org/officeDocument/2006/relationships/hyperlink" Target="https://drive.google.com/open?id=1fGLW-Yp5szAephj-6KgPVD-yavzWNCTR" TargetMode="External"/><Relationship Id="rId32" Type="http://schemas.openxmlformats.org/officeDocument/2006/relationships/hyperlink" Target="https://drive.google.com/open?id=15lPgts4bIC7vjZ4j9j54Kz0DeNZ4O7At" TargetMode="External"/><Relationship Id="rId37" Type="http://schemas.openxmlformats.org/officeDocument/2006/relationships/hyperlink" Target="https://drive.google.com/open?id=1CfqmjYDTiLJub-FGh6QIalzjbTY32xHK" TargetMode="External"/><Relationship Id="rId53" Type="http://schemas.openxmlformats.org/officeDocument/2006/relationships/hyperlink" Target="https://drive.google.com/open?id=1otbqkNajVR6PqQz2WxZZfLGEaHZaFFLy" TargetMode="External"/><Relationship Id="rId58" Type="http://schemas.openxmlformats.org/officeDocument/2006/relationships/hyperlink" Target="https://drive.google.com/open?id=1ia5F0C9o9hsjlnggbRXKBzwDpbQ04X5o" TargetMode="External"/><Relationship Id="rId74" Type="http://schemas.openxmlformats.org/officeDocument/2006/relationships/hyperlink" Target="https://drive.google.com/open?id=1KxljwqIxgRvnvaBQNHwFya7bIXFkNi_w" TargetMode="External"/><Relationship Id="rId79" Type="http://schemas.openxmlformats.org/officeDocument/2006/relationships/hyperlink" Target="https://drive.google.com/open?id=1ZTpFJGQJKZ7fzPKL3JQhJERWI5H70Pfm" TargetMode="External"/><Relationship Id="rId102" Type="http://schemas.openxmlformats.org/officeDocument/2006/relationships/hyperlink" Target="https://drive.google.com/open?id=1aDRtPNjtXGuIvgHJjnO6yCELNvaL6c15" TargetMode="External"/><Relationship Id="rId5" Type="http://schemas.openxmlformats.org/officeDocument/2006/relationships/hyperlink" Target="https://drive.google.com/open?id=1u_9qOB50KyFNDOLveAa5vEkPPu51IBEV" TargetMode="External"/><Relationship Id="rId90" Type="http://schemas.openxmlformats.org/officeDocument/2006/relationships/hyperlink" Target="https://drive.google.com/open?id=1m0RVy7QZcHGR5xLDTFcY1UwJOokBmYzw" TargetMode="External"/><Relationship Id="rId95" Type="http://schemas.openxmlformats.org/officeDocument/2006/relationships/hyperlink" Target="https://drive.google.com/open?id=1abML9Om6W1Wc57bhovPrVej12BlcpB9O" TargetMode="External"/><Relationship Id="rId22" Type="http://schemas.openxmlformats.org/officeDocument/2006/relationships/hyperlink" Target="https://drive.google.com/open?id=1XUsbjt7GLstuyztM9nGArMPAVueUW5_r" TargetMode="External"/><Relationship Id="rId27" Type="http://schemas.openxmlformats.org/officeDocument/2006/relationships/hyperlink" Target="https://drive.google.com/open?id=16CHIk85DCEFS8lCrO5IORzw6O5ngNbvE" TargetMode="External"/><Relationship Id="rId43" Type="http://schemas.openxmlformats.org/officeDocument/2006/relationships/hyperlink" Target="https://drive.google.com/open?id=1QDszzvSzR6_YH3wrtBQdR7Av7mzX4UOc" TargetMode="External"/><Relationship Id="rId48" Type="http://schemas.openxmlformats.org/officeDocument/2006/relationships/hyperlink" Target="https://drive.google.com/open?id=1A_kDwI9YYTOwsRhnMlIl2-1JhCRwheiP" TargetMode="External"/><Relationship Id="rId64" Type="http://schemas.openxmlformats.org/officeDocument/2006/relationships/hyperlink" Target="https://drive.google.com/open?id=16kQvVe-b-VPXxu6HZESNW8tpd1-L9yzC" TargetMode="External"/><Relationship Id="rId69" Type="http://schemas.openxmlformats.org/officeDocument/2006/relationships/hyperlink" Target="https://drive.google.com/open?id=1oViTwiV3sOPp52vp3klUOslN23XcBc9J" TargetMode="External"/><Relationship Id="rId113" Type="http://schemas.openxmlformats.org/officeDocument/2006/relationships/hyperlink" Target="https://drive.google.com/open?id=11nDHEtjxzZGcB62apLsOrJNQ0t6mmAWP" TargetMode="External"/><Relationship Id="rId118" Type="http://schemas.openxmlformats.org/officeDocument/2006/relationships/hyperlink" Target="https://drive.google.com/open?id=1UysmVXPLdZ0CL7qHukCWHqsHr6A_kFb5" TargetMode="External"/><Relationship Id="rId80" Type="http://schemas.openxmlformats.org/officeDocument/2006/relationships/hyperlink" Target="https://drive.google.com/open?id=12GGOKPsxIBfg2rfN0nFDmKAYztKRieQA" TargetMode="External"/><Relationship Id="rId85" Type="http://schemas.openxmlformats.org/officeDocument/2006/relationships/hyperlink" Target="https://drive.google.com/open?id=1RKYCX9plE31vpmt8hjZhVD_vthP7FAxd" TargetMode="External"/><Relationship Id="rId12" Type="http://schemas.openxmlformats.org/officeDocument/2006/relationships/hyperlink" Target="https://drive.google.com/open?id=158dQb5WFZqBjP6X_jBW1JdKpw_ak9Udt" TargetMode="External"/><Relationship Id="rId17" Type="http://schemas.openxmlformats.org/officeDocument/2006/relationships/hyperlink" Target="https://drive.google.com/open?id=1jLozGU4VH4qixAfJNInsg-GumtLUmcGi" TargetMode="External"/><Relationship Id="rId33" Type="http://schemas.openxmlformats.org/officeDocument/2006/relationships/hyperlink" Target="https://drive.google.com/open?id=1F1Ex0dKey_vfPVJI54qnzazVaetPmkNO" TargetMode="External"/><Relationship Id="rId38" Type="http://schemas.openxmlformats.org/officeDocument/2006/relationships/hyperlink" Target="https://drive.google.com/open?id=1puD_aX4cGOLS11dLb6w6dujzDLTmLHvU" TargetMode="External"/><Relationship Id="rId59" Type="http://schemas.openxmlformats.org/officeDocument/2006/relationships/hyperlink" Target="https://drive.google.com/open?id=120VKpDAz4HMffgBmGZGCOl_nYiAV6iD1" TargetMode="External"/><Relationship Id="rId103" Type="http://schemas.openxmlformats.org/officeDocument/2006/relationships/hyperlink" Target="https://drive.google.com/open?id=1cELY1v9GhpIXTHmtjvZUyGbll01GbZAk" TargetMode="External"/><Relationship Id="rId108" Type="http://schemas.openxmlformats.org/officeDocument/2006/relationships/hyperlink" Target="https://drive.google.com/open?id=1x9Ja_z1UW3JmafunUo3YGvh_puj7fMxH" TargetMode="External"/><Relationship Id="rId54" Type="http://schemas.openxmlformats.org/officeDocument/2006/relationships/hyperlink" Target="https://drive.google.com/open?id=1i50M9CDM-4nquSrWoMUEXMODBLExa8St" TargetMode="External"/><Relationship Id="rId70" Type="http://schemas.openxmlformats.org/officeDocument/2006/relationships/hyperlink" Target="https://drive.google.com/open?id=1oEZq-PiMXHopzLLXsPl42-dkrJrs5oXO" TargetMode="External"/><Relationship Id="rId75" Type="http://schemas.openxmlformats.org/officeDocument/2006/relationships/hyperlink" Target="https://drive.google.com/open?id=11F1kGtroTM5aD24lc86Z_njWgdRcWTCQ" TargetMode="External"/><Relationship Id="rId91" Type="http://schemas.openxmlformats.org/officeDocument/2006/relationships/hyperlink" Target="https://drive.google.com/open?id=1fffW1-jiIjckyE3VqhBaJjOT7DYG-6u4" TargetMode="External"/><Relationship Id="rId96" Type="http://schemas.openxmlformats.org/officeDocument/2006/relationships/hyperlink" Target="https://drive.google.com/open?id=1X75B9lZbv14Tj5VL00fhIb03Zi72LK-G" TargetMode="External"/><Relationship Id="rId1" Type="http://schemas.openxmlformats.org/officeDocument/2006/relationships/hyperlink" Target="https://drive.google.com/open?id=1xD2OR936EMERrgEFQFK-b6HMxP5Thp0T" TargetMode="External"/><Relationship Id="rId6" Type="http://schemas.openxmlformats.org/officeDocument/2006/relationships/hyperlink" Target="https://drive.google.com/open?id=1qD73PTajtE8lmOxl7b91Vig9wH5BY3ms" TargetMode="External"/><Relationship Id="rId23" Type="http://schemas.openxmlformats.org/officeDocument/2006/relationships/hyperlink" Target="https://drive.google.com/open?id=1sRfjLgopLqnpd1yw6ylLEp_FNejt6XrP" TargetMode="External"/><Relationship Id="rId28" Type="http://schemas.openxmlformats.org/officeDocument/2006/relationships/hyperlink" Target="https://drive.google.com/open?id=1OtCfpLLuX5CGDhwCkmYQ9EGEFKXtsINZ" TargetMode="External"/><Relationship Id="rId49" Type="http://schemas.openxmlformats.org/officeDocument/2006/relationships/hyperlink" Target="https://drive.google.com/open?id=1osislJq-hk8bUiw_UnZO0gTqXt0VmS2o" TargetMode="External"/><Relationship Id="rId114" Type="http://schemas.openxmlformats.org/officeDocument/2006/relationships/hyperlink" Target="https://drive.google.com/open?id=1d4EHo0HSapTWod5_IPH-iTKGaH3pv1ZM" TargetMode="External"/><Relationship Id="rId119" Type="http://schemas.openxmlformats.org/officeDocument/2006/relationships/table" Target="../tables/table2.xml"/><Relationship Id="rId10" Type="http://schemas.openxmlformats.org/officeDocument/2006/relationships/hyperlink" Target="https://drive.google.com/open?id=16JL5S2aobzBtWJ6m_12Z9d_1MGw-dPZN" TargetMode="External"/><Relationship Id="rId31" Type="http://schemas.openxmlformats.org/officeDocument/2006/relationships/hyperlink" Target="https://drive.google.com/open?id=1_GMXyXHFFpxeJI9flGCyDF45BTf-92C8" TargetMode="External"/><Relationship Id="rId44" Type="http://schemas.openxmlformats.org/officeDocument/2006/relationships/hyperlink" Target="https://drive.google.com/open?id=15PXv7Ij3nBWgeQedqraOWfj33KvrZZb4" TargetMode="External"/><Relationship Id="rId52" Type="http://schemas.openxmlformats.org/officeDocument/2006/relationships/hyperlink" Target="https://drive.google.com/open?id=1ujsFAbfth-1cGDdabZEUOHIIWyyWjdGs" TargetMode="External"/><Relationship Id="rId60" Type="http://schemas.openxmlformats.org/officeDocument/2006/relationships/hyperlink" Target="https://drive.google.com/open?id=1lmYAm_Zp_W3jzhRvldY0xVlwHuAXkqzA" TargetMode="External"/><Relationship Id="rId65" Type="http://schemas.openxmlformats.org/officeDocument/2006/relationships/hyperlink" Target="https://drive.google.com/open?id=1N7iXw6R0B9pNtlkjxoBfXAfxCtkCtTwo" TargetMode="External"/><Relationship Id="rId73" Type="http://schemas.openxmlformats.org/officeDocument/2006/relationships/hyperlink" Target="https://drive.google.com/open?id=1HHlNdt-eGMVp4tQMHBrEzZM9e8slqifO" TargetMode="External"/><Relationship Id="rId78" Type="http://schemas.openxmlformats.org/officeDocument/2006/relationships/hyperlink" Target="https://drive.google.com/open?id=1neS1ex-TmXfCSpMnQlonRYz0ILMfiUtC" TargetMode="External"/><Relationship Id="rId81" Type="http://schemas.openxmlformats.org/officeDocument/2006/relationships/hyperlink" Target="https://drive.google.com/open?id=1a67Qx6oTSUhm6jSiIS9btobDwcdGpJLT" TargetMode="External"/><Relationship Id="rId86" Type="http://schemas.openxmlformats.org/officeDocument/2006/relationships/hyperlink" Target="https://drive.google.com/open?id=1flbX9E0T7WJ_G9TKAHeXi1iIwa9tCklY" TargetMode="External"/><Relationship Id="rId94" Type="http://schemas.openxmlformats.org/officeDocument/2006/relationships/hyperlink" Target="https://drive.google.com/open?id=12vxWt4cYNPWQeb9L3hZDgznPnQSr9qS2" TargetMode="External"/><Relationship Id="rId99" Type="http://schemas.openxmlformats.org/officeDocument/2006/relationships/hyperlink" Target="https://drive.google.com/open?id=15dF5DyT21LaNJJXjN1ZctlOxeIBuO4MQ" TargetMode="External"/><Relationship Id="rId101" Type="http://schemas.openxmlformats.org/officeDocument/2006/relationships/hyperlink" Target="https://drive.google.com/open?id=1PYr9j684ETXlDIE_JIamMHkLqutMzqLK" TargetMode="External"/><Relationship Id="rId4" Type="http://schemas.openxmlformats.org/officeDocument/2006/relationships/hyperlink" Target="https://drive.google.com/open?id=1820zlQZ0aHnZmE2egFshM3H9XNsYO4t7" TargetMode="External"/><Relationship Id="rId9" Type="http://schemas.openxmlformats.org/officeDocument/2006/relationships/hyperlink" Target="https://drive.google.com/open?id=1jiT5uNApBZBcWOk-rGO-18dFspFAO5qz" TargetMode="External"/><Relationship Id="rId13" Type="http://schemas.openxmlformats.org/officeDocument/2006/relationships/hyperlink" Target="https://drive.google.com/open?id=183loTrCwbRoXE1qJ4qvJgodef0zkfItI" TargetMode="External"/><Relationship Id="rId18" Type="http://schemas.openxmlformats.org/officeDocument/2006/relationships/hyperlink" Target="https://drive.google.com/open?id=1A8rIcGpaQrHYDXFBl6NlP0K7nJIdUbK0" TargetMode="External"/><Relationship Id="rId39" Type="http://schemas.openxmlformats.org/officeDocument/2006/relationships/hyperlink" Target="https://drive.google.com/open?id=1UQKD1uO2_ZMmFmk9q28fwC9PXPnR8EIl" TargetMode="External"/><Relationship Id="rId109" Type="http://schemas.openxmlformats.org/officeDocument/2006/relationships/hyperlink" Target="https://drive.google.com/open?id=1RR-Nu1bZo6CDUoBW-_xW0rFP44hUu0A3" TargetMode="External"/><Relationship Id="rId34" Type="http://schemas.openxmlformats.org/officeDocument/2006/relationships/hyperlink" Target="https://drive.google.com/open?id=12iTJGD_BwIsKj6a0YBqKrxsLdT9nqLpc" TargetMode="External"/><Relationship Id="rId50" Type="http://schemas.openxmlformats.org/officeDocument/2006/relationships/hyperlink" Target="https://drive.google.com/open?id=1EXS9SvlBKQ_liYaVtCzRSyqO79Prqx9o" TargetMode="External"/><Relationship Id="rId55" Type="http://schemas.openxmlformats.org/officeDocument/2006/relationships/hyperlink" Target="https://drive.google.com/open?id=1o_rBRikE2S0VuaJjEhmRb6atlkdighiw" TargetMode="External"/><Relationship Id="rId76" Type="http://schemas.openxmlformats.org/officeDocument/2006/relationships/hyperlink" Target="https://drive.google.com/open?id=1339jwk2SGjNoymzeOIkeDCp76J4KK1jM" TargetMode="External"/><Relationship Id="rId97" Type="http://schemas.openxmlformats.org/officeDocument/2006/relationships/hyperlink" Target="https://drive.google.com/open?id=1bxdmTR94ohzVWebgI9-tSBeUq9_W4h8_" TargetMode="External"/><Relationship Id="rId104" Type="http://schemas.openxmlformats.org/officeDocument/2006/relationships/hyperlink" Target="https://drive.google.com/open?id=1ezUS8m6nP8vIaCS_CyQE4quE9FVyQwhU" TargetMode="External"/><Relationship Id="rId7" Type="http://schemas.openxmlformats.org/officeDocument/2006/relationships/hyperlink" Target="https://drive.google.com/open?id=1rPu0Ybrej_LUgLRSsjka3BmxvMhBfD6X" TargetMode="External"/><Relationship Id="rId71" Type="http://schemas.openxmlformats.org/officeDocument/2006/relationships/hyperlink" Target="https://drive.google.com/open?id=1NI70mc7BgbTun8FBWYUVetTqZiuUypTn" TargetMode="External"/><Relationship Id="rId92" Type="http://schemas.openxmlformats.org/officeDocument/2006/relationships/hyperlink" Target="https://drive.google.com/open?id=1zMFw_PBFrjWJGbAkDm02k0nlRpGiyfTV" TargetMode="External"/><Relationship Id="rId2" Type="http://schemas.openxmlformats.org/officeDocument/2006/relationships/hyperlink" Target="https://drive.google.com/open?id=1FDUcBJxUQtNFjYG5KZplRaWO0P0gVmnr" TargetMode="External"/><Relationship Id="rId29" Type="http://schemas.openxmlformats.org/officeDocument/2006/relationships/hyperlink" Target="https://drive.google.com/open?id=1IcpfOs5fXSQVfPWYS_h1lHM-aYNLFj82" TargetMode="External"/><Relationship Id="rId24" Type="http://schemas.openxmlformats.org/officeDocument/2006/relationships/hyperlink" Target="https://drive.google.com/open?id=1Eg09th1430UMruQJIlPD_TeI9jRBcDiV" TargetMode="External"/><Relationship Id="rId40" Type="http://schemas.openxmlformats.org/officeDocument/2006/relationships/hyperlink" Target="https://drive.google.com/open?id=1UZGD33Huoou6i0tljDemjdaWtPj5VQZL" TargetMode="External"/><Relationship Id="rId45" Type="http://schemas.openxmlformats.org/officeDocument/2006/relationships/hyperlink" Target="https://drive.google.com/open?id=1a5fvyeEd3HtRkH_BWXSQ3hceNH6pst-U" TargetMode="External"/><Relationship Id="rId66" Type="http://schemas.openxmlformats.org/officeDocument/2006/relationships/hyperlink" Target="https://drive.google.com/open?id=1xsXJUZhCOmuI83F27nmZI-b6cUPTHJf_" TargetMode="External"/><Relationship Id="rId87" Type="http://schemas.openxmlformats.org/officeDocument/2006/relationships/hyperlink" Target="https://drive.google.com/open?id=1GS4z7qV349sM3tzRCFUDjFEz4UufV6r1" TargetMode="External"/><Relationship Id="rId110" Type="http://schemas.openxmlformats.org/officeDocument/2006/relationships/hyperlink" Target="https://drive.google.com/open?id=1azNa8nEMLt-5c7SEKNFTr6voaI9GIlQe" TargetMode="External"/><Relationship Id="rId115" Type="http://schemas.openxmlformats.org/officeDocument/2006/relationships/hyperlink" Target="https://drive.google.com/open?id=1Q9hxfyk4teIVcpMapJeQuuZDCTvYBOVf" TargetMode="External"/><Relationship Id="rId61" Type="http://schemas.openxmlformats.org/officeDocument/2006/relationships/hyperlink" Target="https://drive.google.com/open?id=1qz9RoqB0RgpcZvXSA3XICUyKHypAoLls" TargetMode="External"/><Relationship Id="rId82" Type="http://schemas.openxmlformats.org/officeDocument/2006/relationships/hyperlink" Target="https://drive.google.com/open?id=1W09NscNYxpHSLmLpG5R2H6Nk2KnQzXot" TargetMode="External"/><Relationship Id="rId19" Type="http://schemas.openxmlformats.org/officeDocument/2006/relationships/hyperlink" Target="https://drive.google.com/open?id=1Gn1bHRjhc9v2ugFgI_Rz3l1vfL1iUSBd" TargetMode="External"/><Relationship Id="rId14" Type="http://schemas.openxmlformats.org/officeDocument/2006/relationships/hyperlink" Target="https://drive.google.com/open?id=1UGO-2JO7IM6oZi_hi6rhbskFCoPSYK4f" TargetMode="External"/><Relationship Id="rId30" Type="http://schemas.openxmlformats.org/officeDocument/2006/relationships/hyperlink" Target="https://drive.google.com/open?id=1YMZPxoq0KQFr2tzdwXCd-E83EdCZNlpc" TargetMode="External"/><Relationship Id="rId35" Type="http://schemas.openxmlformats.org/officeDocument/2006/relationships/hyperlink" Target="https://drive.google.com/open?id=1dWkOxNYwvqG6S2KgYHB3mv9vgASJF6FX" TargetMode="External"/><Relationship Id="rId56" Type="http://schemas.openxmlformats.org/officeDocument/2006/relationships/hyperlink" Target="https://drive.google.com/open?id=1HgratoW0dV8iZZu4mETbtGzJSTJOxxej" TargetMode="External"/><Relationship Id="rId77" Type="http://schemas.openxmlformats.org/officeDocument/2006/relationships/hyperlink" Target="https://drive.google.com/open?id=18NeD_6JMlPQR3df4p2qTp6hDnte3DSW7" TargetMode="External"/><Relationship Id="rId100" Type="http://schemas.openxmlformats.org/officeDocument/2006/relationships/hyperlink" Target="https://drive.google.com/open?id=1GvThF3e1WvSbr6qNLIRsoKid8jNfL5dj" TargetMode="External"/><Relationship Id="rId105" Type="http://schemas.openxmlformats.org/officeDocument/2006/relationships/hyperlink" Target="https://drive.google.com/open?id=1HKgfhW6LidsnPgBAi-xqkzbZMMhZk6oy" TargetMode="External"/><Relationship Id="rId8" Type="http://schemas.openxmlformats.org/officeDocument/2006/relationships/hyperlink" Target="https://drive.google.com/open?id=1zO7IKbY98goYnhlu9w4j_LQPiw-MtYKx" TargetMode="External"/><Relationship Id="rId51" Type="http://schemas.openxmlformats.org/officeDocument/2006/relationships/hyperlink" Target="https://drive.google.com/open?id=19fjjPdtpLfY5Wp7WTOmVXN60qhgNQVnx" TargetMode="External"/><Relationship Id="rId72" Type="http://schemas.openxmlformats.org/officeDocument/2006/relationships/hyperlink" Target="https://drive.google.com/open?id=14s4GvIiau2rAi3MYPF3w3N7t-OsvpVl4" TargetMode="External"/><Relationship Id="rId93" Type="http://schemas.openxmlformats.org/officeDocument/2006/relationships/hyperlink" Target="https://drive.google.com/open?id=11Fz_MPN1EZZ0FvbDHQoDsbCbjG0MnWLY" TargetMode="External"/><Relationship Id="rId98" Type="http://schemas.openxmlformats.org/officeDocument/2006/relationships/hyperlink" Target="https://drive.google.com/open?id=1wutXkLcC_BtrKuY4sJ79wjr8mHqaBnF6" TargetMode="External"/><Relationship Id="rId3" Type="http://schemas.openxmlformats.org/officeDocument/2006/relationships/hyperlink" Target="https://drive.google.com/open?id=1fvzep5d9sr8lmMeUweX56wmQf1aU02Fi" TargetMode="External"/><Relationship Id="rId25" Type="http://schemas.openxmlformats.org/officeDocument/2006/relationships/hyperlink" Target="https://drive.google.com/open?id=1VYqmQglbDsYS-trbVPJ9GmsAfYNU3d5C" TargetMode="External"/><Relationship Id="rId46" Type="http://schemas.openxmlformats.org/officeDocument/2006/relationships/hyperlink" Target="https://drive.google.com/open?id=10DX3wGiKG65k1w6wbTXlQLFIdetEwnPB" TargetMode="External"/><Relationship Id="rId67" Type="http://schemas.openxmlformats.org/officeDocument/2006/relationships/hyperlink" Target="https://drive.google.com/open?id=1_sCioncERwPwdqLFm5mtOy9iMEXzfKM7" TargetMode="External"/><Relationship Id="rId116" Type="http://schemas.openxmlformats.org/officeDocument/2006/relationships/hyperlink" Target="https://drive.google.com/open?id=1Z64K-DSKOSg0Tyl8X4EwtdsxBK9UaddE" TargetMode="External"/><Relationship Id="rId20" Type="http://schemas.openxmlformats.org/officeDocument/2006/relationships/hyperlink" Target="https://drive.google.com/open?id=1hQUOdbu6qzEYm2PtvnrhU5GaVl6ReEcB" TargetMode="External"/><Relationship Id="rId41" Type="http://schemas.openxmlformats.org/officeDocument/2006/relationships/hyperlink" Target="https://drive.google.com/open?id=1mADf1yGinkaAF9cSRZp2MoLtgi3BPdNO" TargetMode="External"/><Relationship Id="rId62" Type="http://schemas.openxmlformats.org/officeDocument/2006/relationships/hyperlink" Target="https://drive.google.com/open?id=18CPkOhhhQw2jphI8S5ojnIukyp73e2a5" TargetMode="External"/><Relationship Id="rId83" Type="http://schemas.openxmlformats.org/officeDocument/2006/relationships/hyperlink" Target="https://drive.google.com/open?id=1gvL8R--qAZ078rnH8XVq713_QedGgLR9" TargetMode="External"/><Relationship Id="rId88" Type="http://schemas.openxmlformats.org/officeDocument/2006/relationships/hyperlink" Target="https://drive.google.com/open?id=1iKJNDsnmu8c8OUx_4h-oz7Gj67aIVNdx" TargetMode="External"/><Relationship Id="rId111" Type="http://schemas.openxmlformats.org/officeDocument/2006/relationships/hyperlink" Target="https://drive.google.com/open?id=1-z53E94w_3FOU2tat6dZ4RSdHXrQuJec" TargetMode="External"/><Relationship Id="rId15" Type="http://schemas.openxmlformats.org/officeDocument/2006/relationships/hyperlink" Target="https://drive.google.com/open?id=1VS-h05Fid-Hv9IhnJh5OX7NLMaOnUQTA" TargetMode="External"/><Relationship Id="rId36" Type="http://schemas.openxmlformats.org/officeDocument/2006/relationships/hyperlink" Target="https://drive.google.com/open?id=15XXtbPC72f0bvhcyJlk-pootJ8PiZnAl" TargetMode="External"/><Relationship Id="rId57" Type="http://schemas.openxmlformats.org/officeDocument/2006/relationships/hyperlink" Target="https://drive.google.com/open?id=13IVY9SRVivkfkkpk_MmKzkabe9wjInj8" TargetMode="External"/><Relationship Id="rId106" Type="http://schemas.openxmlformats.org/officeDocument/2006/relationships/hyperlink" Target="https://drive.google.com/open?id=1SHzldgunTabKXzhFAoBtut33wojHjxW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AB75-78D0-4AF8-BBE1-9E6FC62917BB}">
  <dimension ref="A1:AD188"/>
  <sheetViews>
    <sheetView tabSelected="1" workbookViewId="0">
      <selection activeCell="N132" sqref="N132"/>
    </sheetView>
  </sheetViews>
  <sheetFormatPr defaultRowHeight="15" x14ac:dyDescent="0.25"/>
  <cols>
    <col min="1" max="1" width="12" style="8" bestFit="1" customWidth="1"/>
    <col min="2" max="2" width="31" bestFit="1" customWidth="1"/>
    <col min="3" max="3" width="16.140625" bestFit="1" customWidth="1"/>
    <col min="4" max="4" width="14.7109375" style="6" bestFit="1" customWidth="1"/>
    <col min="5" max="5" width="14.42578125" bestFit="1" customWidth="1"/>
    <col min="6" max="6" width="40.28515625" bestFit="1" customWidth="1"/>
    <col min="7" max="7" width="12.28515625" bestFit="1" customWidth="1"/>
    <col min="8" max="8" width="15.7109375" bestFit="1" customWidth="1"/>
    <col min="9" max="9" width="27" style="6" bestFit="1" customWidth="1"/>
    <col min="10" max="10" width="15" bestFit="1" customWidth="1"/>
    <col min="11" max="11" width="34.85546875" bestFit="1" customWidth="1"/>
    <col min="12" max="13" width="44.28515625" bestFit="1" customWidth="1"/>
    <col min="14" max="14" width="23.7109375" style="6" bestFit="1" customWidth="1"/>
    <col min="15" max="15" width="15.7109375" bestFit="1" customWidth="1"/>
    <col min="16" max="16" width="20.5703125" customWidth="1"/>
    <col min="17" max="17" width="22.85546875" customWidth="1"/>
    <col min="18" max="18" width="18" customWidth="1"/>
    <col min="19" max="19" width="14.42578125" bestFit="1" customWidth="1"/>
    <col min="20" max="20" width="9" bestFit="1" customWidth="1"/>
    <col min="21" max="22" width="11.7109375" customWidth="1"/>
    <col min="23" max="23" width="15.140625" customWidth="1"/>
    <col min="24" max="24" width="9.140625" customWidth="1"/>
    <col min="25" max="25" width="13.7109375" customWidth="1"/>
    <col min="26" max="27" width="16.140625" customWidth="1"/>
    <col min="28" max="28" width="8.5703125" customWidth="1"/>
    <col min="29" max="29" width="13.42578125" customWidth="1"/>
    <col min="30" max="30" width="13" customWidth="1"/>
  </cols>
  <sheetData>
    <row r="1" spans="1:30" x14ac:dyDescent="0.25">
      <c r="A1" s="8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8">
        <v>30616959560</v>
      </c>
      <c r="B2" t="s">
        <v>30</v>
      </c>
      <c r="C2" s="7" t="e">
        <f>VLOOKUP(Personel!A2,denem!A:AC,8,0)</f>
        <v>#N/A</v>
      </c>
      <c r="D2" s="6" t="e">
        <f>VLOOKUP(Personel!A2,denem!A:AC,9,0)</f>
        <v>#N/A</v>
      </c>
      <c r="F2" t="s">
        <v>985</v>
      </c>
      <c r="H2" t="e">
        <v>#N/A</v>
      </c>
      <c r="I2" s="6" t="e">
        <v>#N/A</v>
      </c>
      <c r="K2" s="6" t="e">
        <v>#N/A</v>
      </c>
      <c r="L2" t="e">
        <f>PROPER(VLOOKUP(Personel!A2,denem!A:AC,10,0))</f>
        <v>#N/A</v>
      </c>
      <c r="M2" t="e">
        <f>PROPER(VLOOKUP(Personel!A2,denem!A:AC,11,0))</f>
        <v>#N/A</v>
      </c>
      <c r="N2" s="6" t="e">
        <f>VLOOKUP(Personel!A2,denem!A:AC,12,0)</f>
        <v>#N/A</v>
      </c>
      <c r="O2" t="e">
        <f>PROPER(VLOOKUP(Personel!A2,denem!A:AC,13,0))</f>
        <v>#N/A</v>
      </c>
      <c r="X2" t="s">
        <v>31</v>
      </c>
      <c r="AC2" t="s">
        <v>32</v>
      </c>
    </row>
    <row r="3" spans="1:30" x14ac:dyDescent="0.25">
      <c r="A3" s="8">
        <v>18199300764</v>
      </c>
      <c r="B3" t="s">
        <v>33</v>
      </c>
      <c r="C3" s="7" t="str">
        <f>VLOOKUP(Personel!A3,denem!A:AC,8,0)</f>
        <v xml:space="preserve">Afyonkarahisar </v>
      </c>
      <c r="D3" s="6">
        <f>VLOOKUP(Personel!A3,denem!A:AC,9,0)</f>
        <v>35661</v>
      </c>
      <c r="F3" t="s">
        <v>985</v>
      </c>
      <c r="H3" t="e">
        <v>#N/A</v>
      </c>
      <c r="I3" s="6" t="e">
        <v>#N/A</v>
      </c>
      <c r="K3" s="6" t="s">
        <v>239</v>
      </c>
      <c r="L3" t="str">
        <f>PROPER(VLOOKUP(Personel!A3,denem!A:AC,10,0))</f>
        <v>İstanbul Üniversitesi</v>
      </c>
      <c r="M3" t="str">
        <f>PROPER(VLOOKUP(Personel!A3,denem!A:AC,11,0))</f>
        <v xml:space="preserve">Cerrahpaşa Tıp Fakültesi </v>
      </c>
      <c r="N3" s="6">
        <f>VLOOKUP(Personel!A3,denem!A:AC,12,0)</f>
        <v>44554</v>
      </c>
      <c r="O3" t="str">
        <f>PROPER(VLOOKUP(Personel!A3,denem!A:AC,13,0))</f>
        <v>244963</v>
      </c>
      <c r="X3" t="s">
        <v>31</v>
      </c>
      <c r="AC3" t="s">
        <v>32</v>
      </c>
    </row>
    <row r="4" spans="1:30" x14ac:dyDescent="0.25">
      <c r="A4" s="8">
        <v>27274354172</v>
      </c>
      <c r="B4" t="s">
        <v>34</v>
      </c>
      <c r="C4" s="7" t="str">
        <f>VLOOKUP(Personel!A4,denem!A:AC,8,0)</f>
        <v>Yeşilova</v>
      </c>
      <c r="D4" s="6">
        <f>VLOOKUP(Personel!A4,denem!A:AC,9,0)</f>
        <v>26299</v>
      </c>
      <c r="F4" t="s">
        <v>235</v>
      </c>
      <c r="H4" t="s">
        <v>823</v>
      </c>
      <c r="I4" s="6">
        <v>34701</v>
      </c>
      <c r="K4" s="6" t="s">
        <v>231</v>
      </c>
      <c r="L4" t="str">
        <f>PROPER(VLOOKUP(Personel!A4,denem!A:AC,10,0))</f>
        <v xml:space="preserve">İst. Üni. </v>
      </c>
      <c r="M4" t="str">
        <f>PROPER(VLOOKUP(Personel!A4,denem!A:AC,11,0))</f>
        <v>Sağ. Hiz. Mes. Yo Radyoloji Bölümü</v>
      </c>
      <c r="N4" s="6">
        <f>VLOOKUP(Personel!A4,denem!A:AC,12,0)</f>
        <v>34684</v>
      </c>
      <c r="O4" t="str">
        <f>PROPER(VLOOKUP(Personel!A4,denem!A:AC,13,0))</f>
        <v>185</v>
      </c>
      <c r="X4" t="s">
        <v>31</v>
      </c>
      <c r="AC4" t="s">
        <v>32</v>
      </c>
    </row>
    <row r="5" spans="1:30" x14ac:dyDescent="0.25">
      <c r="A5" s="8">
        <v>18632783390</v>
      </c>
      <c r="B5" t="s">
        <v>36</v>
      </c>
      <c r="C5" s="7" t="e">
        <f>VLOOKUP(Personel!A5,denem!A:AC,8,0)</f>
        <v>#N/A</v>
      </c>
      <c r="D5" s="6" t="e">
        <f>VLOOKUP(Personel!A5,denem!A:AC,9,0)</f>
        <v>#N/A</v>
      </c>
      <c r="F5" t="s">
        <v>986</v>
      </c>
      <c r="H5" t="e">
        <v>#N/A</v>
      </c>
      <c r="I5" s="6" t="e">
        <v>#N/A</v>
      </c>
      <c r="K5" s="6" t="e">
        <v>#N/A</v>
      </c>
      <c r="L5" t="e">
        <f>PROPER(VLOOKUP(Personel!A5,denem!A:AC,10,0))</f>
        <v>#N/A</v>
      </c>
      <c r="M5" t="e">
        <f>PROPER(VLOOKUP(Personel!A5,denem!A:AC,11,0))</f>
        <v>#N/A</v>
      </c>
      <c r="N5" s="6" t="e">
        <f>VLOOKUP(Personel!A5,denem!A:AC,12,0)</f>
        <v>#N/A</v>
      </c>
      <c r="O5" t="e">
        <f>PROPER(VLOOKUP(Personel!A5,denem!A:AC,13,0))</f>
        <v>#N/A</v>
      </c>
      <c r="X5" t="s">
        <v>31</v>
      </c>
      <c r="AC5" t="s">
        <v>32</v>
      </c>
    </row>
    <row r="6" spans="1:30" x14ac:dyDescent="0.25">
      <c r="A6" s="8">
        <v>19645682168</v>
      </c>
      <c r="B6" t="s">
        <v>37</v>
      </c>
      <c r="C6" s="7" t="str">
        <f>VLOOKUP(Personel!A6,denem!A:AC,8,0)</f>
        <v>Kaldırımbaşı</v>
      </c>
      <c r="D6" s="6">
        <f>VLOOKUP(Personel!A6,denem!A:AC,9,0)</f>
        <v>26055</v>
      </c>
      <c r="F6" t="s">
        <v>344</v>
      </c>
      <c r="H6" t="s">
        <v>982</v>
      </c>
      <c r="I6" s="6">
        <v>35100</v>
      </c>
      <c r="K6" s="6" t="s">
        <v>251</v>
      </c>
      <c r="L6" t="str">
        <f>PROPER(VLOOKUP(Personel!A6,denem!A:AC,10,0))</f>
        <v>İstanbul Üniversitesi</v>
      </c>
      <c r="M6" t="str">
        <f>PROPER(VLOOKUP(Personel!A6,denem!A:AC,11,0))</f>
        <v>Sağ. Hiz. Mes. Yo Radyoloji Bölümü</v>
      </c>
      <c r="N6" s="6">
        <f>VLOOKUP(Personel!A6,denem!A:AC,12,0)</f>
        <v>34942</v>
      </c>
      <c r="O6" t="str">
        <f>PROPER(VLOOKUP(Personel!A6,denem!A:AC,13,0))</f>
        <v>241</v>
      </c>
      <c r="X6" t="s">
        <v>31</v>
      </c>
      <c r="AC6" t="s">
        <v>32</v>
      </c>
    </row>
    <row r="7" spans="1:30" x14ac:dyDescent="0.25">
      <c r="A7" s="8">
        <v>22028017990</v>
      </c>
      <c r="B7" t="s">
        <v>38</v>
      </c>
      <c r="C7" s="7" t="e">
        <f>VLOOKUP(Personel!A7,denem!A:AC,8,0)</f>
        <v>#N/A</v>
      </c>
      <c r="D7" s="6" t="e">
        <f>VLOOKUP(Personel!A7,denem!A:AC,9,0)</f>
        <v>#N/A</v>
      </c>
      <c r="F7" t="s">
        <v>987</v>
      </c>
      <c r="H7" t="e">
        <v>#N/A</v>
      </c>
      <c r="I7" s="6" t="e">
        <v>#N/A</v>
      </c>
      <c r="K7" s="6" t="e">
        <v>#N/A</v>
      </c>
      <c r="L7" t="e">
        <f>PROPER(VLOOKUP(Personel!A7,denem!A:AC,10,0))</f>
        <v>#N/A</v>
      </c>
      <c r="M7" t="e">
        <f>PROPER(VLOOKUP(Personel!A7,denem!A:AC,11,0))</f>
        <v>#N/A</v>
      </c>
      <c r="N7" s="6" t="e">
        <f>VLOOKUP(Personel!A7,denem!A:AC,12,0)</f>
        <v>#N/A</v>
      </c>
      <c r="O7" t="e">
        <f>PROPER(VLOOKUP(Personel!A7,denem!A:AC,13,0))</f>
        <v>#N/A</v>
      </c>
      <c r="X7" t="s">
        <v>31</v>
      </c>
      <c r="AC7" t="s">
        <v>32</v>
      </c>
    </row>
    <row r="8" spans="1:30" x14ac:dyDescent="0.25">
      <c r="A8" s="8">
        <v>30872319092</v>
      </c>
      <c r="B8" t="s">
        <v>39</v>
      </c>
      <c r="C8" s="7" t="e">
        <f>VLOOKUP(Personel!A8,denem!A:AC,8,0)</f>
        <v>#N/A</v>
      </c>
      <c r="D8" s="6" t="e">
        <f>VLOOKUP(Personel!A8,denem!A:AC,9,0)</f>
        <v>#N/A</v>
      </c>
      <c r="F8" t="s">
        <v>988</v>
      </c>
      <c r="H8" t="e">
        <v>#N/A</v>
      </c>
      <c r="I8" s="6" t="e">
        <v>#N/A</v>
      </c>
      <c r="K8" s="6" t="e">
        <v>#N/A</v>
      </c>
      <c r="L8" t="e">
        <f>PROPER(VLOOKUP(Personel!A8,denem!A:AC,10,0))</f>
        <v>#N/A</v>
      </c>
      <c r="M8" t="e">
        <f>PROPER(VLOOKUP(Personel!A8,denem!A:AC,11,0))</f>
        <v>#N/A</v>
      </c>
      <c r="N8" s="6" t="e">
        <f>VLOOKUP(Personel!A8,denem!A:AC,12,0)</f>
        <v>#N/A</v>
      </c>
      <c r="O8" t="e">
        <f>PROPER(VLOOKUP(Personel!A8,denem!A:AC,13,0))</f>
        <v>#N/A</v>
      </c>
      <c r="X8" t="s">
        <v>31</v>
      </c>
      <c r="AC8" t="s">
        <v>32</v>
      </c>
    </row>
    <row r="9" spans="1:30" x14ac:dyDescent="0.25">
      <c r="A9" s="8">
        <v>31621815018</v>
      </c>
      <c r="B9" t="s">
        <v>40</v>
      </c>
      <c r="C9" s="7" t="str">
        <f>VLOOKUP(Personel!A9,denem!A:AC,8,0)</f>
        <v>İstanbul</v>
      </c>
      <c r="D9" s="6">
        <f>VLOOKUP(Personel!A9,denem!A:AC,9,0)</f>
        <v>28024</v>
      </c>
      <c r="F9" t="s">
        <v>314</v>
      </c>
      <c r="H9" t="e">
        <v>#N/A</v>
      </c>
      <c r="I9" s="6" t="e">
        <v>#N/A</v>
      </c>
      <c r="K9" s="6" t="s">
        <v>263</v>
      </c>
      <c r="L9" t="str">
        <f>PROPER(VLOOKUP(Personel!A9,denem!A:AC,10,0))</f>
        <v>İstanbul Üniversitesi</v>
      </c>
      <c r="M9" t="str">
        <f>PROPER(VLOOKUP(Personel!A9,denem!A:AC,11,0))</f>
        <v>İstanbul Tıp Fakültesi</v>
      </c>
      <c r="N9" s="6">
        <f>VLOOKUP(Personel!A9,denem!A:AC,12,0)</f>
        <v>37043</v>
      </c>
      <c r="O9" t="str">
        <f>PROPER(VLOOKUP(Personel!A9,denem!A:AC,13,0))</f>
        <v>24838-28306</v>
      </c>
      <c r="X9" t="s">
        <v>31</v>
      </c>
      <c r="AC9" t="s">
        <v>32</v>
      </c>
    </row>
    <row r="10" spans="1:30" x14ac:dyDescent="0.25">
      <c r="A10" s="8">
        <v>25364482644</v>
      </c>
      <c r="B10" t="s">
        <v>41</v>
      </c>
      <c r="C10" s="7" t="str">
        <f>VLOOKUP(Personel!A10,denem!A:AC,8,0)</f>
        <v>Samsun</v>
      </c>
      <c r="D10" s="6">
        <f>VLOOKUP(Personel!A10,denem!A:AC,9,0)</f>
        <v>32686</v>
      </c>
      <c r="F10" t="s">
        <v>235</v>
      </c>
      <c r="H10" t="s">
        <v>836</v>
      </c>
      <c r="I10" s="6">
        <v>41562</v>
      </c>
      <c r="K10" s="6" t="s">
        <v>275</v>
      </c>
      <c r="L10" t="str">
        <f>PROPER(VLOOKUP(Personel!A10,denem!A:AC,10,0))</f>
        <v>İstanbul Üniversitesi</v>
      </c>
      <c r="M10" t="str">
        <f>PROPER(VLOOKUP(Personel!A10,denem!A:AC,11,0))</f>
        <v>Sağ. Hiz. Mes. Yo Radyoloji Bölümü</v>
      </c>
      <c r="N10" s="6">
        <f>VLOOKUP(Personel!A10,denem!A:AC,12,0)</f>
        <v>40164</v>
      </c>
      <c r="O10" t="str">
        <f>PROPER(VLOOKUP(Personel!A10,denem!A:AC,13,0))</f>
        <v>1903</v>
      </c>
      <c r="X10" t="s">
        <v>31</v>
      </c>
      <c r="AC10" t="s">
        <v>32</v>
      </c>
    </row>
    <row r="11" spans="1:30" x14ac:dyDescent="0.25">
      <c r="A11" s="8">
        <v>41281522522</v>
      </c>
      <c r="B11" t="s">
        <v>42</v>
      </c>
      <c r="C11" s="7">
        <f>VLOOKUP(Personel!A11,denem!A:AC,8,0)</f>
        <v>0</v>
      </c>
      <c r="D11" s="6">
        <f>VLOOKUP(Personel!A11,denem!A:AC,9,0)</f>
        <v>26055</v>
      </c>
      <c r="F11" t="s">
        <v>314</v>
      </c>
      <c r="H11" t="e">
        <v>#N/A</v>
      </c>
      <c r="I11" s="6" t="e">
        <v>#N/A</v>
      </c>
      <c r="K11" s="6" t="s">
        <v>281</v>
      </c>
      <c r="L11" t="str">
        <f>PROPER(VLOOKUP(Personel!A11,denem!A:AC,10,0))</f>
        <v>İstanbul Üniversitesi</v>
      </c>
      <c r="M11" t="str">
        <f>PROPER(VLOOKUP(Personel!A11,denem!A:AC,11,0))</f>
        <v>İstanbul Tıp Fakültesi</v>
      </c>
      <c r="N11" s="6">
        <f>VLOOKUP(Personel!A11,denem!A:AC,12,0)</f>
        <v>34180</v>
      </c>
      <c r="O11" t="str">
        <f>PROPER(VLOOKUP(Personel!A11,denem!A:AC,13,0))</f>
        <v>21852/25320</v>
      </c>
      <c r="X11" t="s">
        <v>31</v>
      </c>
      <c r="AC11" t="s">
        <v>32</v>
      </c>
    </row>
    <row r="12" spans="1:30" x14ac:dyDescent="0.25">
      <c r="A12" s="8">
        <v>21521659898</v>
      </c>
      <c r="B12" t="s">
        <v>43</v>
      </c>
      <c r="C12" s="7" t="str">
        <f>VLOOKUP(Personel!A12,denem!A:AC,8,0)</f>
        <v>Tokat</v>
      </c>
      <c r="D12" s="6">
        <f>VLOOKUP(Personel!A12,denem!A:AC,9,0)</f>
        <v>30109</v>
      </c>
      <c r="F12" t="s">
        <v>235</v>
      </c>
      <c r="H12" t="s">
        <v>838</v>
      </c>
      <c r="I12" s="6">
        <v>41562</v>
      </c>
      <c r="K12" s="6" t="s">
        <v>286</v>
      </c>
      <c r="L12" t="str">
        <f>PROPER(VLOOKUP(Personel!A12,denem!A:AC,10,0))</f>
        <v>Ankara Üniversitesi</v>
      </c>
      <c r="M12" t="str">
        <f>PROPER(VLOOKUP(Personel!A12,denem!A:AC,11,0))</f>
        <v>Sağ. Hiz. Mes. Yo Radyoloji Bölümü</v>
      </c>
      <c r="N12" s="6">
        <f>VLOOKUP(Personel!A12,denem!A:AC,12,0)</f>
        <v>37476</v>
      </c>
      <c r="O12" t="str">
        <f>PROPER(VLOOKUP(Personel!A12,denem!A:AC,13,0))</f>
        <v>1933</v>
      </c>
      <c r="X12" t="s">
        <v>31</v>
      </c>
      <c r="AC12" t="s">
        <v>32</v>
      </c>
    </row>
    <row r="13" spans="1:30" x14ac:dyDescent="0.25">
      <c r="A13" s="8">
        <v>21521169366</v>
      </c>
      <c r="B13" t="s">
        <v>44</v>
      </c>
      <c r="C13" s="7" t="e">
        <f>VLOOKUP(Personel!A13,denem!A:AC,8,0)</f>
        <v>#N/A</v>
      </c>
      <c r="D13" s="6" t="e">
        <f>VLOOKUP(Personel!A13,denem!A:AC,9,0)</f>
        <v>#N/A</v>
      </c>
      <c r="F13" t="s">
        <v>986</v>
      </c>
      <c r="H13" t="e">
        <v>#N/A</v>
      </c>
      <c r="I13" s="6" t="e">
        <v>#N/A</v>
      </c>
      <c r="K13" s="6" t="e">
        <v>#N/A</v>
      </c>
      <c r="L13" t="e">
        <f>PROPER(VLOOKUP(Personel!A13,denem!A:AC,10,0))</f>
        <v>#N/A</v>
      </c>
      <c r="M13" t="e">
        <f>PROPER(VLOOKUP(Personel!A13,denem!A:AC,11,0))</f>
        <v>#N/A</v>
      </c>
      <c r="N13" s="6" t="e">
        <f>VLOOKUP(Personel!A13,denem!A:AC,12,0)</f>
        <v>#N/A</v>
      </c>
      <c r="O13" t="e">
        <f>PROPER(VLOOKUP(Personel!A13,denem!A:AC,13,0))</f>
        <v>#N/A</v>
      </c>
      <c r="X13" t="s">
        <v>31</v>
      </c>
      <c r="AC13" t="s">
        <v>32</v>
      </c>
    </row>
    <row r="14" spans="1:30" x14ac:dyDescent="0.25">
      <c r="A14" s="8">
        <v>38554317466</v>
      </c>
      <c r="B14" t="s">
        <v>45</v>
      </c>
      <c r="C14" s="7">
        <f>VLOOKUP(Personel!A14,denem!A:AC,8,0)</f>
        <v>0</v>
      </c>
      <c r="D14" s="6">
        <f>VLOOKUP(Personel!A14,denem!A:AC,9,0)</f>
        <v>23965</v>
      </c>
      <c r="F14" t="s">
        <v>314</v>
      </c>
      <c r="H14" t="e">
        <v>#N/A</v>
      </c>
      <c r="I14" s="6" t="e">
        <v>#N/A</v>
      </c>
      <c r="K14" s="6" t="s">
        <v>291</v>
      </c>
      <c r="L14" t="str">
        <f>PROPER(VLOOKUP(Personel!A14,denem!A:AC,10,0))</f>
        <v>İstanbul Üniversitesi</v>
      </c>
      <c r="M14" t="str">
        <f>PROPER(VLOOKUP(Personel!A14,denem!A:AC,11,0))</f>
        <v>İstanbul Tıp Fakültesi</v>
      </c>
      <c r="N14" s="6">
        <f>VLOOKUP(Personel!A14,denem!A:AC,12,0)</f>
        <v>32143</v>
      </c>
      <c r="O14" t="str">
        <f>PROPER(VLOOKUP(Personel!A14,denem!A:AC,13,0))</f>
        <v/>
      </c>
      <c r="X14" t="s">
        <v>31</v>
      </c>
      <c r="AC14" t="s">
        <v>32</v>
      </c>
    </row>
    <row r="15" spans="1:30" x14ac:dyDescent="0.25">
      <c r="A15" s="8">
        <v>43009257976</v>
      </c>
      <c r="B15" t="s">
        <v>46</v>
      </c>
      <c r="C15" s="7" t="e">
        <f>VLOOKUP(Personel!A15,denem!A:AC,8,0)</f>
        <v>#N/A</v>
      </c>
      <c r="D15" s="6" t="e">
        <f>VLOOKUP(Personel!A15,denem!A:AC,9,0)</f>
        <v>#N/A</v>
      </c>
      <c r="F15" t="s">
        <v>989</v>
      </c>
      <c r="H15" t="e">
        <v>#N/A</v>
      </c>
      <c r="I15" s="6" t="e">
        <v>#N/A</v>
      </c>
      <c r="K15" s="6" t="e">
        <v>#N/A</v>
      </c>
      <c r="L15" t="e">
        <f>PROPER(VLOOKUP(Personel!A15,denem!A:AC,10,0))</f>
        <v>#N/A</v>
      </c>
      <c r="M15" t="e">
        <f>PROPER(VLOOKUP(Personel!A15,denem!A:AC,11,0))</f>
        <v>#N/A</v>
      </c>
      <c r="N15" s="6" t="e">
        <f>VLOOKUP(Personel!A15,denem!A:AC,12,0)</f>
        <v>#N/A</v>
      </c>
      <c r="O15" t="e">
        <f>PROPER(VLOOKUP(Personel!A15,denem!A:AC,13,0))</f>
        <v>#N/A</v>
      </c>
      <c r="X15" t="s">
        <v>31</v>
      </c>
      <c r="AC15" t="s">
        <v>32</v>
      </c>
    </row>
    <row r="16" spans="1:30" x14ac:dyDescent="0.25">
      <c r="A16" s="8">
        <v>67864076688</v>
      </c>
      <c r="B16" t="s">
        <v>47</v>
      </c>
      <c r="C16" s="7" t="str">
        <f>VLOOKUP(Personel!A16,denem!A:AC,8,0)</f>
        <v>Ankara</v>
      </c>
      <c r="D16" s="6">
        <f>VLOOKUP(Personel!A16,denem!A:AC,9,0)</f>
        <v>27884</v>
      </c>
      <c r="F16" t="s">
        <v>235</v>
      </c>
      <c r="H16" t="s">
        <v>842</v>
      </c>
      <c r="I16" s="6">
        <v>37937</v>
      </c>
      <c r="K16" s="6" t="s">
        <v>297</v>
      </c>
      <c r="L16" t="str">
        <f>PROPER(VLOOKUP(Personel!A16,denem!A:AC,10,0))</f>
        <v>Gazi Üniversitesi</v>
      </c>
      <c r="M16" t="str">
        <f>PROPER(VLOOKUP(Personel!A16,denem!A:AC,11,0))</f>
        <v>Sağ. Hiz. Mes. Yo Radyoloji Bölümü</v>
      </c>
      <c r="N16" s="6">
        <f>VLOOKUP(Personel!A16,denem!A:AC,12,0)</f>
        <v>35450</v>
      </c>
      <c r="O16" t="str">
        <f>PROPER(VLOOKUP(Personel!A16,denem!A:AC,13,0))</f>
        <v>94102</v>
      </c>
      <c r="X16" t="s">
        <v>31</v>
      </c>
      <c r="AC16" t="s">
        <v>32</v>
      </c>
    </row>
    <row r="17" spans="1:29" x14ac:dyDescent="0.25">
      <c r="A17" s="8">
        <v>37537744404</v>
      </c>
      <c r="B17" t="s">
        <v>48</v>
      </c>
      <c r="C17" s="7" t="e">
        <f>VLOOKUP(Personel!A17,denem!A:AC,8,0)</f>
        <v>#N/A</v>
      </c>
      <c r="D17" s="6" t="e">
        <f>VLOOKUP(Personel!A17,denem!A:AC,9,0)</f>
        <v>#N/A</v>
      </c>
      <c r="F17" t="s">
        <v>987</v>
      </c>
      <c r="H17" t="e">
        <v>#N/A</v>
      </c>
      <c r="I17" s="6" t="e">
        <v>#N/A</v>
      </c>
      <c r="K17" s="6" t="e">
        <v>#N/A</v>
      </c>
      <c r="L17" t="e">
        <f>PROPER(VLOOKUP(Personel!A17,denem!A:AC,10,0))</f>
        <v>#N/A</v>
      </c>
      <c r="M17" t="e">
        <f>PROPER(VLOOKUP(Personel!A17,denem!A:AC,11,0))</f>
        <v>#N/A</v>
      </c>
      <c r="N17" s="6" t="e">
        <f>VLOOKUP(Personel!A17,denem!A:AC,12,0)</f>
        <v>#N/A</v>
      </c>
      <c r="O17" t="e">
        <f>PROPER(VLOOKUP(Personel!A17,denem!A:AC,13,0))</f>
        <v>#N/A</v>
      </c>
      <c r="X17" t="s">
        <v>31</v>
      </c>
      <c r="AC17" t="s">
        <v>32</v>
      </c>
    </row>
    <row r="18" spans="1:29" x14ac:dyDescent="0.25">
      <c r="A18" s="8">
        <v>99249933514</v>
      </c>
      <c r="B18" t="s">
        <v>49</v>
      </c>
      <c r="C18" s="7" t="e">
        <f>VLOOKUP(Personel!A18,denem!A:AC,8,0)</f>
        <v>#N/A</v>
      </c>
      <c r="D18" s="6" t="e">
        <f>VLOOKUP(Personel!A18,denem!A:AC,9,0)</f>
        <v>#N/A</v>
      </c>
      <c r="F18" t="s">
        <v>990</v>
      </c>
      <c r="H18" t="e">
        <v>#N/A</v>
      </c>
      <c r="I18" s="6" t="e">
        <v>#N/A</v>
      </c>
      <c r="K18" s="6" t="e">
        <v>#N/A</v>
      </c>
      <c r="L18" t="e">
        <f>PROPER(VLOOKUP(Personel!A18,denem!A:AC,10,0))</f>
        <v>#N/A</v>
      </c>
      <c r="M18" t="e">
        <f>PROPER(VLOOKUP(Personel!A18,denem!A:AC,11,0))</f>
        <v>#N/A</v>
      </c>
      <c r="N18" s="6" t="e">
        <f>VLOOKUP(Personel!A18,denem!A:AC,12,0)</f>
        <v>#N/A</v>
      </c>
      <c r="O18" t="e">
        <f>PROPER(VLOOKUP(Personel!A18,denem!A:AC,13,0))</f>
        <v>#N/A</v>
      </c>
      <c r="X18" t="s">
        <v>31</v>
      </c>
      <c r="AC18" t="s">
        <v>32</v>
      </c>
    </row>
    <row r="19" spans="1:29" x14ac:dyDescent="0.25">
      <c r="A19" s="8">
        <v>37745020840</v>
      </c>
      <c r="B19" t="s">
        <v>50</v>
      </c>
      <c r="C19" s="7" t="e">
        <f>VLOOKUP(Personel!A19,denem!A:AC,8,0)</f>
        <v>#N/A</v>
      </c>
      <c r="D19" s="6" t="e">
        <f>VLOOKUP(Personel!A19,denem!A:AC,9,0)</f>
        <v>#N/A</v>
      </c>
      <c r="F19" t="s">
        <v>985</v>
      </c>
      <c r="H19" t="e">
        <v>#N/A</v>
      </c>
      <c r="I19" s="6" t="e">
        <v>#N/A</v>
      </c>
      <c r="K19" s="6" t="e">
        <v>#N/A</v>
      </c>
      <c r="L19" t="e">
        <f>PROPER(VLOOKUP(Personel!A19,denem!A:AC,10,0))</f>
        <v>#N/A</v>
      </c>
      <c r="M19" t="e">
        <f>PROPER(VLOOKUP(Personel!A19,denem!A:AC,11,0))</f>
        <v>#N/A</v>
      </c>
      <c r="N19" s="6" t="e">
        <f>VLOOKUP(Personel!A19,denem!A:AC,12,0)</f>
        <v>#N/A</v>
      </c>
      <c r="O19" t="e">
        <f>PROPER(VLOOKUP(Personel!A19,denem!A:AC,13,0))</f>
        <v>#N/A</v>
      </c>
      <c r="X19" t="s">
        <v>31</v>
      </c>
      <c r="AC19" t="s">
        <v>32</v>
      </c>
    </row>
    <row r="20" spans="1:29" x14ac:dyDescent="0.25">
      <c r="A20" s="8">
        <v>47245166252</v>
      </c>
      <c r="B20" t="s">
        <v>51</v>
      </c>
      <c r="C20" s="7" t="e">
        <f>VLOOKUP(Personel!A20,denem!A:AC,8,0)</f>
        <v>#N/A</v>
      </c>
      <c r="D20" s="6" t="e">
        <f>VLOOKUP(Personel!A20,denem!A:AC,9,0)</f>
        <v>#N/A</v>
      </c>
      <c r="F20" t="s">
        <v>986</v>
      </c>
      <c r="H20" t="e">
        <v>#N/A</v>
      </c>
      <c r="I20" s="6" t="e">
        <v>#N/A</v>
      </c>
      <c r="K20" s="6" t="e">
        <v>#N/A</v>
      </c>
      <c r="L20" t="e">
        <f>PROPER(VLOOKUP(Personel!A20,denem!A:AC,10,0))</f>
        <v>#N/A</v>
      </c>
      <c r="M20" t="e">
        <f>PROPER(VLOOKUP(Personel!A20,denem!A:AC,11,0))</f>
        <v>#N/A</v>
      </c>
      <c r="N20" s="6" t="e">
        <f>VLOOKUP(Personel!A20,denem!A:AC,12,0)</f>
        <v>#N/A</v>
      </c>
      <c r="O20" t="e">
        <f>PROPER(VLOOKUP(Personel!A20,denem!A:AC,13,0))</f>
        <v>#N/A</v>
      </c>
      <c r="X20" t="s">
        <v>31</v>
      </c>
      <c r="AC20" t="s">
        <v>32</v>
      </c>
    </row>
    <row r="21" spans="1:29" x14ac:dyDescent="0.25">
      <c r="A21" s="8">
        <v>21661184694</v>
      </c>
      <c r="B21" t="s">
        <v>52</v>
      </c>
      <c r="C21" s="7" t="str">
        <f>VLOOKUP(Personel!A21,denem!A:AC,8,0)</f>
        <v>Balıkesir</v>
      </c>
      <c r="D21" s="6">
        <f>VLOOKUP(Personel!A21,denem!A:AC,9,0)</f>
        <v>35296</v>
      </c>
      <c r="F21" t="s">
        <v>303</v>
      </c>
      <c r="H21" t="e">
        <v>#N/A</v>
      </c>
      <c r="I21" s="6" t="e">
        <v>#N/A</v>
      </c>
      <c r="K21" s="6" t="s">
        <v>306</v>
      </c>
      <c r="L21" t="str">
        <f>PROPER(VLOOKUP(Personel!A21,denem!A:AC,10,0))</f>
        <v>İstanbul Üniversitesi</v>
      </c>
      <c r="M21" t="str">
        <f>PROPER(VLOOKUP(Personel!A21,denem!A:AC,11,0))</f>
        <v>İstanbul Tıp Fakültesi</v>
      </c>
      <c r="N21" s="6">
        <f>VLOOKUP(Personel!A21,denem!A:AC,12,0)</f>
        <v>44024</v>
      </c>
      <c r="O21" t="str">
        <f>PROPER(VLOOKUP(Personel!A21,denem!A:AC,13,0))</f>
        <v>31987/35455</v>
      </c>
      <c r="X21" t="s">
        <v>31</v>
      </c>
      <c r="AC21" t="s">
        <v>32</v>
      </c>
    </row>
    <row r="22" spans="1:29" x14ac:dyDescent="0.25">
      <c r="A22" s="8">
        <v>16105981854</v>
      </c>
      <c r="B22" t="s">
        <v>53</v>
      </c>
      <c r="C22" s="7" t="str">
        <f>VLOOKUP(Personel!A22,denem!A:AC,8,0)</f>
        <v>Erzurum</v>
      </c>
      <c r="D22" s="6">
        <f>VLOOKUP(Personel!A22,denem!A:AC,9,0)</f>
        <v>27241</v>
      </c>
      <c r="F22" t="s">
        <v>314</v>
      </c>
      <c r="H22" t="e">
        <v>#N/A</v>
      </c>
      <c r="I22" s="6" t="e">
        <v>#N/A</v>
      </c>
      <c r="K22" s="6" t="s">
        <v>311</v>
      </c>
      <c r="L22" t="str">
        <f>PROPER(VLOOKUP(Personel!A22,denem!A:AC,10,0))</f>
        <v>Ankara Üniversitesi</v>
      </c>
      <c r="M22" t="str">
        <f>PROPER(VLOOKUP(Personel!A22,denem!A:AC,11,0))</f>
        <v>Tıp Fakültesi</v>
      </c>
      <c r="N22" s="6">
        <f>VLOOKUP(Personel!A22,denem!A:AC,12,0)</f>
        <v>36780</v>
      </c>
      <c r="O22" t="str">
        <f>PROPER(VLOOKUP(Personel!A22,denem!A:AC,13,0))</f>
        <v>12437</v>
      </c>
      <c r="X22" t="s">
        <v>31</v>
      </c>
      <c r="AC22" t="s">
        <v>32</v>
      </c>
    </row>
    <row r="23" spans="1:29" x14ac:dyDescent="0.25">
      <c r="A23" s="8">
        <v>37855404714</v>
      </c>
      <c r="B23" t="s">
        <v>54</v>
      </c>
      <c r="C23" s="7" t="str">
        <f>VLOOKUP(Personel!A23,denem!A:AC,8,0)</f>
        <v>Ordu</v>
      </c>
      <c r="D23" s="6">
        <f>VLOOKUP(Personel!A23,denem!A:AC,9,0)</f>
        <v>35185</v>
      </c>
      <c r="F23" t="s">
        <v>985</v>
      </c>
      <c r="H23" t="e">
        <v>#N/A</v>
      </c>
      <c r="I23" s="6" t="e">
        <v>#N/A</v>
      </c>
      <c r="K23" s="6" t="s">
        <v>318</v>
      </c>
      <c r="L23" t="str">
        <f>PROPER(VLOOKUP(Personel!A23,denem!A:AC,10,0))</f>
        <v>Ankara Üniversitesi</v>
      </c>
      <c r="M23" t="str">
        <f>PROPER(VLOOKUP(Personel!A23,denem!A:AC,11,0))</f>
        <v>Tıp Fakültesi</v>
      </c>
      <c r="N23" s="6">
        <f>VLOOKUP(Personel!A23,denem!A:AC,12,0)</f>
        <v>44012</v>
      </c>
      <c r="O23" t="str">
        <f>PROPER(VLOOKUP(Personel!A23,denem!A:AC,13,0))</f>
        <v>2020-09-0346</v>
      </c>
      <c r="X23" t="s">
        <v>31</v>
      </c>
      <c r="AC23" t="s">
        <v>32</v>
      </c>
    </row>
    <row r="24" spans="1:29" x14ac:dyDescent="0.25">
      <c r="A24" s="8">
        <v>42415993164</v>
      </c>
      <c r="B24" t="s">
        <v>55</v>
      </c>
      <c r="C24" s="7" t="e">
        <f>VLOOKUP(Personel!A24,denem!A:AC,8,0)</f>
        <v>#N/A</v>
      </c>
      <c r="D24" s="6" t="e">
        <f>VLOOKUP(Personel!A24,denem!A:AC,9,0)</f>
        <v>#N/A</v>
      </c>
      <c r="F24" t="s">
        <v>991</v>
      </c>
      <c r="H24" t="e">
        <v>#N/A</v>
      </c>
      <c r="I24" s="6" t="e">
        <v>#N/A</v>
      </c>
      <c r="K24" s="6" t="e">
        <v>#N/A</v>
      </c>
      <c r="L24" t="e">
        <f>PROPER(VLOOKUP(Personel!A24,denem!A:AC,10,0))</f>
        <v>#N/A</v>
      </c>
      <c r="M24" t="e">
        <f>PROPER(VLOOKUP(Personel!A24,denem!A:AC,11,0))</f>
        <v>#N/A</v>
      </c>
      <c r="N24" s="6" t="e">
        <f>VLOOKUP(Personel!A24,denem!A:AC,12,0)</f>
        <v>#N/A</v>
      </c>
      <c r="O24" t="e">
        <f>PROPER(VLOOKUP(Personel!A24,denem!A:AC,13,0))</f>
        <v>#N/A</v>
      </c>
      <c r="X24" t="s">
        <v>31</v>
      </c>
      <c r="AC24" t="s">
        <v>32</v>
      </c>
    </row>
    <row r="25" spans="1:29" x14ac:dyDescent="0.25">
      <c r="A25" s="8">
        <v>20485675074</v>
      </c>
      <c r="B25" t="s">
        <v>56</v>
      </c>
      <c r="C25" s="7" t="str">
        <f>VLOOKUP(Personel!A25,denem!A:AC,8,0)</f>
        <v>İstanbul</v>
      </c>
      <c r="D25" s="6">
        <f>VLOOKUP(Personel!A25,denem!A:AC,9,0)</f>
        <v>32898</v>
      </c>
      <c r="F25" t="s">
        <v>235</v>
      </c>
      <c r="H25" t="s">
        <v>846</v>
      </c>
      <c r="I25" s="6">
        <v>40910</v>
      </c>
      <c r="K25" s="6" t="s">
        <v>328</v>
      </c>
      <c r="L25" t="str">
        <f>PROPER(VLOOKUP(Personel!A25,denem!A:AC,10,0))</f>
        <v>Marmara Üniversitesi</v>
      </c>
      <c r="M25" t="str">
        <f>PROPER(VLOOKUP(Personel!A25,denem!A:AC,11,0))</f>
        <v>Sağ. Hiz. Mes. Yo Radyoloji Bölümü</v>
      </c>
      <c r="N25" s="6">
        <f>VLOOKUP(Personel!A25,denem!A:AC,12,0)</f>
        <v>40400</v>
      </c>
      <c r="O25" t="str">
        <f>PROPER(VLOOKUP(Personel!A25,denem!A:AC,13,0))</f>
        <v>547</v>
      </c>
      <c r="X25" t="s">
        <v>31</v>
      </c>
      <c r="AC25" t="s">
        <v>32</v>
      </c>
    </row>
    <row r="26" spans="1:29" x14ac:dyDescent="0.25">
      <c r="A26" s="8">
        <v>18163287602</v>
      </c>
      <c r="B26" t="s">
        <v>57</v>
      </c>
      <c r="C26" s="7">
        <f>VLOOKUP(Personel!A26,denem!A:AC,8,0)</f>
        <v>0</v>
      </c>
      <c r="D26" s="6">
        <f>VLOOKUP(Personel!A26,denem!A:AC,9,0)</f>
        <v>36014</v>
      </c>
      <c r="F26" t="s">
        <v>446</v>
      </c>
      <c r="H26" t="s">
        <v>848</v>
      </c>
      <c r="I26" s="6">
        <v>44075</v>
      </c>
      <c r="K26" s="6" t="s">
        <v>332</v>
      </c>
      <c r="L26" t="str">
        <f>PROPER(VLOOKUP(Personel!A26,denem!A:AC,10,0))</f>
        <v>Eskişehir Osmangazi Üniversitesi</v>
      </c>
      <c r="M26" t="str">
        <f>PROPER(VLOOKUP(Personel!A26,denem!A:AC,11,0))</f>
        <v>Sağ. Hiz. Mes. Yo Radyoloji Bölümü</v>
      </c>
      <c r="N26" s="6">
        <f>VLOOKUP(Personel!A26,denem!A:AC,12,0)</f>
        <v>43873</v>
      </c>
      <c r="O26" t="str">
        <f>PROPER(VLOOKUP(Personel!A26,denem!A:AC,13,0))</f>
        <v>165771</v>
      </c>
      <c r="X26" t="s">
        <v>31</v>
      </c>
      <c r="AC26" t="s">
        <v>32</v>
      </c>
    </row>
    <row r="27" spans="1:29" x14ac:dyDescent="0.25">
      <c r="A27" s="8">
        <v>40423668340</v>
      </c>
      <c r="B27" t="s">
        <v>59</v>
      </c>
      <c r="C27" s="7" t="e">
        <f>VLOOKUP(Personel!A27,denem!A:AC,8,0)</f>
        <v>#N/A</v>
      </c>
      <c r="D27" s="6" t="e">
        <f>VLOOKUP(Personel!A27,denem!A:AC,9,0)</f>
        <v>#N/A</v>
      </c>
      <c r="F27" t="s">
        <v>988</v>
      </c>
      <c r="H27" t="e">
        <v>#N/A</v>
      </c>
      <c r="I27" s="6" t="e">
        <v>#N/A</v>
      </c>
      <c r="K27" s="6" t="e">
        <v>#N/A</v>
      </c>
      <c r="L27" t="e">
        <f>PROPER(VLOOKUP(Personel!A27,denem!A:AC,10,0))</f>
        <v>#N/A</v>
      </c>
      <c r="M27" t="e">
        <f>PROPER(VLOOKUP(Personel!A27,denem!A:AC,11,0))</f>
        <v>#N/A</v>
      </c>
      <c r="N27" s="6" t="e">
        <f>VLOOKUP(Personel!A27,denem!A:AC,12,0)</f>
        <v>#N/A</v>
      </c>
      <c r="O27" t="e">
        <f>PROPER(VLOOKUP(Personel!A27,denem!A:AC,13,0))</f>
        <v>#N/A</v>
      </c>
      <c r="X27" t="s">
        <v>31</v>
      </c>
      <c r="AC27" t="s">
        <v>32</v>
      </c>
    </row>
    <row r="28" spans="1:29" x14ac:dyDescent="0.25">
      <c r="A28" s="8">
        <v>14522068356</v>
      </c>
      <c r="B28" t="s">
        <v>60</v>
      </c>
      <c r="C28" s="7" t="str">
        <f>VLOOKUP(Personel!A28,denem!A:AC,8,0)</f>
        <v>Silivri</v>
      </c>
      <c r="D28" s="6">
        <f>VLOOKUP(Personel!A28,denem!A:AC,9,0)</f>
        <v>27576</v>
      </c>
      <c r="F28" t="s">
        <v>344</v>
      </c>
      <c r="H28" t="e">
        <v>#N/A</v>
      </c>
      <c r="I28" s="6" t="e">
        <v>#N/A</v>
      </c>
      <c r="K28" s="6" t="s">
        <v>341</v>
      </c>
      <c r="L28" t="str">
        <f>PROPER(VLOOKUP(Personel!A28,denem!A:AC,10,0))</f>
        <v>Uludağ Üniversitesi</v>
      </c>
      <c r="M28" t="str">
        <f>PROPER(VLOOKUP(Personel!A28,denem!A:AC,11,0))</f>
        <v>Bursa Sağ. Hiz. Mes. Yo Radyoloji Bölümü</v>
      </c>
      <c r="N28" s="6">
        <f>VLOOKUP(Personel!A28,denem!A:AC,12,0)</f>
        <v>34206</v>
      </c>
      <c r="O28" t="str">
        <f>PROPER(VLOOKUP(Personel!A28,denem!A:AC,13,0))</f>
        <v>27211</v>
      </c>
      <c r="X28" t="s">
        <v>31</v>
      </c>
      <c r="AC28" t="s">
        <v>32</v>
      </c>
    </row>
    <row r="29" spans="1:29" x14ac:dyDescent="0.25">
      <c r="A29" s="8">
        <v>13352305068</v>
      </c>
      <c r="B29" t="s">
        <v>61</v>
      </c>
      <c r="C29" s="7" t="str">
        <f>VLOOKUP(Personel!A29,denem!A:AC,8,0)</f>
        <v>Kahramanmaraş</v>
      </c>
      <c r="D29" s="6">
        <f>VLOOKUP(Personel!A29,denem!A:AC,9,0)</f>
        <v>35203</v>
      </c>
      <c r="F29" t="s">
        <v>235</v>
      </c>
      <c r="H29" t="s">
        <v>850</v>
      </c>
      <c r="I29" s="6">
        <v>44760</v>
      </c>
      <c r="K29" s="6" t="s">
        <v>347</v>
      </c>
      <c r="L29" t="str">
        <f>PROPER(VLOOKUP(Personel!A29,denem!A:AC,10,0))</f>
        <v>Nişantaşı Üniversitesi</v>
      </c>
      <c r="M29" t="str">
        <f>PROPER(VLOOKUP(Personel!A29,denem!A:AC,11,0))</f>
        <v>Sağ. Hiz. Mes. Yo Radyoloji Bölümü</v>
      </c>
      <c r="N29" s="6">
        <f>VLOOKUP(Personel!A29,denem!A:AC,12,0)</f>
        <v>42898</v>
      </c>
      <c r="O29" t="str">
        <f>PROPER(VLOOKUP(Personel!A29,denem!A:AC,13,0))</f>
        <v/>
      </c>
      <c r="X29" t="s">
        <v>31</v>
      </c>
      <c r="AC29" t="s">
        <v>32</v>
      </c>
    </row>
    <row r="30" spans="1:29" x14ac:dyDescent="0.25">
      <c r="A30" s="8">
        <v>51394625768</v>
      </c>
      <c r="B30" t="s">
        <v>62</v>
      </c>
      <c r="C30" s="7" t="e">
        <f>VLOOKUP(Personel!A30,denem!A:AC,8,0)</f>
        <v>#N/A</v>
      </c>
      <c r="D30" s="6" t="e">
        <f>VLOOKUP(Personel!A30,denem!A:AC,9,0)</f>
        <v>#N/A</v>
      </c>
      <c r="F30" t="s">
        <v>986</v>
      </c>
      <c r="H30" t="e">
        <v>#N/A</v>
      </c>
      <c r="I30" s="6" t="e">
        <v>#N/A</v>
      </c>
      <c r="K30" s="6" t="e">
        <v>#N/A</v>
      </c>
      <c r="L30" t="e">
        <f>PROPER(VLOOKUP(Personel!A30,denem!A:AC,10,0))</f>
        <v>#N/A</v>
      </c>
      <c r="M30" t="e">
        <f>PROPER(VLOOKUP(Personel!A30,denem!A:AC,11,0))</f>
        <v>#N/A</v>
      </c>
      <c r="N30" s="6" t="e">
        <f>VLOOKUP(Personel!A30,denem!A:AC,12,0)</f>
        <v>#N/A</v>
      </c>
      <c r="O30" t="e">
        <f>PROPER(VLOOKUP(Personel!A30,denem!A:AC,13,0))</f>
        <v>#N/A</v>
      </c>
      <c r="X30" t="s">
        <v>31</v>
      </c>
      <c r="AC30" t="s">
        <v>32</v>
      </c>
    </row>
    <row r="31" spans="1:29" x14ac:dyDescent="0.25">
      <c r="A31" s="8">
        <v>13117894240</v>
      </c>
      <c r="B31" t="s">
        <v>63</v>
      </c>
      <c r="C31" s="7" t="str">
        <f>VLOOKUP(Personel!A31,denem!A:AC,8,0)</f>
        <v>Çanakkale</v>
      </c>
      <c r="D31" s="6">
        <f>VLOOKUP(Personel!A31,denem!A:AC,9,0)</f>
        <v>36266</v>
      </c>
      <c r="F31" t="s">
        <v>235</v>
      </c>
      <c r="H31" t="s">
        <v>853</v>
      </c>
      <c r="I31" s="6">
        <v>44789</v>
      </c>
      <c r="K31" s="6" t="s">
        <v>359</v>
      </c>
      <c r="L31" t="str">
        <f>PROPER(VLOOKUP(Personel!A31,denem!A:AC,10,0))</f>
        <v>Ege Üniversitesi</v>
      </c>
      <c r="M31" t="str">
        <f>PROPER(VLOOKUP(Personel!A31,denem!A:AC,11,0))</f>
        <v>Atatürk Sağ. Hiz. Mes. Yo Radyoloji Bölümü</v>
      </c>
      <c r="N31" s="6">
        <f>VLOOKUP(Personel!A31,denem!A:AC,12,0)</f>
        <v>43993</v>
      </c>
      <c r="O31" t="str">
        <f>PROPER(VLOOKUP(Personel!A31,denem!A:AC,13,0))</f>
        <v/>
      </c>
      <c r="X31" t="s">
        <v>31</v>
      </c>
      <c r="AC31" t="s">
        <v>32</v>
      </c>
    </row>
    <row r="32" spans="1:29" x14ac:dyDescent="0.25">
      <c r="A32" s="8">
        <v>24359170214</v>
      </c>
      <c r="B32" t="s">
        <v>64</v>
      </c>
      <c r="C32" s="7" t="str">
        <f>VLOOKUP(Personel!A32,denem!A:AC,8,0)</f>
        <v>İstanbul</v>
      </c>
      <c r="D32" s="6">
        <f>VLOOKUP(Personel!A32,denem!A:AC,9,0)</f>
        <v>33348</v>
      </c>
      <c r="F32" t="s">
        <v>992</v>
      </c>
      <c r="H32" t="e">
        <v>#N/A</v>
      </c>
      <c r="I32" s="6" t="e">
        <v>#N/A</v>
      </c>
      <c r="K32" s="6" t="s">
        <v>364</v>
      </c>
      <c r="L32" t="str">
        <f>PROPER(VLOOKUP(Personel!A32,denem!A:AC,10,0))</f>
        <v>İstanbul Üniversitesi</v>
      </c>
      <c r="M32" t="str">
        <f>PROPER(VLOOKUP(Personel!A32,denem!A:AC,11,0))</f>
        <v>İstanbul Tıp Fakültesi</v>
      </c>
      <c r="N32" s="6">
        <f>VLOOKUP(Personel!A32,denem!A:AC,12,0)</f>
        <v>42540</v>
      </c>
      <c r="O32" t="str">
        <f>PROPER(VLOOKUP(Personel!A32,denem!A:AC,13,0))</f>
        <v>30093/33561</v>
      </c>
      <c r="X32" t="s">
        <v>31</v>
      </c>
      <c r="AC32" t="s">
        <v>32</v>
      </c>
    </row>
    <row r="33" spans="1:29" x14ac:dyDescent="0.25">
      <c r="A33" s="8">
        <v>20707846060</v>
      </c>
      <c r="B33" t="s">
        <v>65</v>
      </c>
      <c r="C33" s="7" t="str">
        <f>VLOOKUP(Personel!A33,denem!A:AC,8,0)</f>
        <v>Kemah</v>
      </c>
      <c r="D33" s="6">
        <f>VLOOKUP(Personel!A33,denem!A:AC,9,0)</f>
        <v>30317</v>
      </c>
      <c r="F33" t="s">
        <v>235</v>
      </c>
      <c r="H33" t="s">
        <v>857</v>
      </c>
      <c r="I33" s="6">
        <v>41562</v>
      </c>
      <c r="K33" s="6" t="s">
        <v>371</v>
      </c>
      <c r="L33" t="str">
        <f>PROPER(VLOOKUP(Personel!A33,denem!A:AC,10,0))</f>
        <v>İstanbul Bilim Üniversitesi</v>
      </c>
      <c r="M33" t="str">
        <f>PROPER(VLOOKUP(Personel!A33,denem!A:AC,11,0))</f>
        <v>Sağ. Hiz. Mes. Yo Radyoloji Bölümü</v>
      </c>
      <c r="N33" s="6">
        <f>VLOOKUP(Personel!A33,denem!A:AC,12,0)</f>
        <v>39632</v>
      </c>
      <c r="O33" t="str">
        <f>PROPER(VLOOKUP(Personel!A33,denem!A:AC,13,0))</f>
        <v>29</v>
      </c>
      <c r="X33" t="s">
        <v>31</v>
      </c>
      <c r="AC33" t="s">
        <v>32</v>
      </c>
    </row>
    <row r="34" spans="1:29" x14ac:dyDescent="0.25">
      <c r="A34" s="8">
        <v>30679636910</v>
      </c>
      <c r="B34" t="s">
        <v>66</v>
      </c>
      <c r="C34" s="7" t="str">
        <f>VLOOKUP(Personel!A34,denem!A:AC,8,0)</f>
        <v>İstanbul</v>
      </c>
      <c r="D34" s="6">
        <f>VLOOKUP(Personel!A34,denem!A:AC,9,0)</f>
        <v>33035</v>
      </c>
      <c r="F34" t="s">
        <v>446</v>
      </c>
      <c r="H34" t="s">
        <v>862</v>
      </c>
      <c r="I34" s="6">
        <v>40910</v>
      </c>
      <c r="K34" s="6" t="s">
        <v>375</v>
      </c>
      <c r="L34" t="str">
        <f>PROPER(VLOOKUP(Personel!A34,denem!A:AC,10,0))</f>
        <v>İstanbul Üniversitesi</v>
      </c>
      <c r="M34" t="str">
        <f>PROPER(VLOOKUP(Personel!A34,denem!A:AC,11,0))</f>
        <v>Sağ. Hiz. Mes. Yo Radyoloji Bölümü</v>
      </c>
      <c r="N34" s="6">
        <f>VLOOKUP(Personel!A34,denem!A:AC,12,0)</f>
        <v>40728</v>
      </c>
      <c r="O34" t="str">
        <f>PROPER(VLOOKUP(Personel!A34,denem!A:AC,13,0))</f>
        <v>969</v>
      </c>
      <c r="X34" t="s">
        <v>31</v>
      </c>
      <c r="AC34" t="s">
        <v>32</v>
      </c>
    </row>
    <row r="35" spans="1:29" x14ac:dyDescent="0.25">
      <c r="A35" s="8">
        <v>21871342648</v>
      </c>
      <c r="B35" t="s">
        <v>67</v>
      </c>
      <c r="C35" s="7" t="e">
        <f>VLOOKUP(Personel!A35,denem!A:AC,8,0)</f>
        <v>#N/A</v>
      </c>
      <c r="D35" s="6" t="e">
        <f>VLOOKUP(Personel!A35,denem!A:AC,9,0)</f>
        <v>#N/A</v>
      </c>
      <c r="F35" t="s">
        <v>993</v>
      </c>
      <c r="H35" t="e">
        <v>#N/A</v>
      </c>
      <c r="I35" s="6" t="e">
        <v>#N/A</v>
      </c>
      <c r="K35" s="6" t="e">
        <v>#N/A</v>
      </c>
      <c r="L35" t="e">
        <f>PROPER(VLOOKUP(Personel!A35,denem!A:AC,10,0))</f>
        <v>#N/A</v>
      </c>
      <c r="M35" t="e">
        <f>PROPER(VLOOKUP(Personel!A35,denem!A:AC,11,0))</f>
        <v>#N/A</v>
      </c>
      <c r="N35" s="6" t="e">
        <f>VLOOKUP(Personel!A35,denem!A:AC,12,0)</f>
        <v>#N/A</v>
      </c>
      <c r="O35" t="e">
        <f>PROPER(VLOOKUP(Personel!A35,denem!A:AC,13,0))</f>
        <v>#N/A</v>
      </c>
      <c r="X35" t="s">
        <v>31</v>
      </c>
      <c r="AC35" t="s">
        <v>32</v>
      </c>
    </row>
    <row r="36" spans="1:29" x14ac:dyDescent="0.25">
      <c r="A36" s="8">
        <v>33955916348</v>
      </c>
      <c r="B36" t="s">
        <v>68</v>
      </c>
      <c r="C36" s="7" t="str">
        <f>VLOOKUP(Personel!A36,denem!A:AC,8,0)</f>
        <v>İzmit</v>
      </c>
      <c r="D36" s="6">
        <f>VLOOKUP(Personel!A36,denem!A:AC,9,0)</f>
        <v>32919</v>
      </c>
      <c r="F36" t="s">
        <v>235</v>
      </c>
      <c r="H36" t="s">
        <v>864</v>
      </c>
      <c r="I36" s="6">
        <v>40910</v>
      </c>
      <c r="K36" s="6" t="s">
        <v>378</v>
      </c>
      <c r="L36" t="str">
        <f>PROPER(VLOOKUP(Personel!A36,denem!A:AC,10,0))</f>
        <v>İstabul Universitesi</v>
      </c>
      <c r="M36" t="str">
        <f>PROPER(VLOOKUP(Personel!A36,denem!A:AC,11,0))</f>
        <v>Sağ. Hiz. Mes. Yo Radyoloji Bölümü</v>
      </c>
      <c r="N36" s="6">
        <f>VLOOKUP(Personel!A36,denem!A:AC,12,0)</f>
        <v>40333</v>
      </c>
      <c r="O36" t="str">
        <f>PROPER(VLOOKUP(Personel!A36,denem!A:AC,13,0))</f>
        <v>907</v>
      </c>
      <c r="X36" t="s">
        <v>31</v>
      </c>
      <c r="AC36" t="s">
        <v>32</v>
      </c>
    </row>
    <row r="37" spans="1:29" x14ac:dyDescent="0.25">
      <c r="A37" s="8">
        <v>49576468920</v>
      </c>
      <c r="B37" t="s">
        <v>69</v>
      </c>
      <c r="C37" s="7" t="e">
        <f>VLOOKUP(Personel!A37,denem!A:AC,8,0)</f>
        <v>#N/A</v>
      </c>
      <c r="D37" s="6" t="e">
        <f>VLOOKUP(Personel!A37,denem!A:AC,9,0)</f>
        <v>#N/A</v>
      </c>
      <c r="F37" t="s">
        <v>993</v>
      </c>
      <c r="H37" t="e">
        <v>#N/A</v>
      </c>
      <c r="I37" s="6" t="e">
        <v>#N/A</v>
      </c>
      <c r="K37" s="6" t="e">
        <v>#N/A</v>
      </c>
      <c r="L37" t="e">
        <f>PROPER(VLOOKUP(Personel!A37,denem!A:AC,10,0))</f>
        <v>#N/A</v>
      </c>
      <c r="M37" t="e">
        <f>PROPER(VLOOKUP(Personel!A37,denem!A:AC,11,0))</f>
        <v>#N/A</v>
      </c>
      <c r="N37" s="6" t="e">
        <f>VLOOKUP(Personel!A37,denem!A:AC,12,0)</f>
        <v>#N/A</v>
      </c>
      <c r="O37" t="e">
        <f>PROPER(VLOOKUP(Personel!A37,denem!A:AC,13,0))</f>
        <v>#N/A</v>
      </c>
      <c r="X37" t="s">
        <v>31</v>
      </c>
      <c r="AC37" t="s">
        <v>32</v>
      </c>
    </row>
    <row r="38" spans="1:29" x14ac:dyDescent="0.25">
      <c r="A38" s="8">
        <v>59701516396</v>
      </c>
      <c r="B38" t="s">
        <v>70</v>
      </c>
      <c r="C38" s="7" t="str">
        <f>VLOOKUP(Personel!A38,denem!A:AC,8,0)</f>
        <v>İstanbul</v>
      </c>
      <c r="D38" s="6">
        <f>VLOOKUP(Personel!A38,denem!A:AC,9,0)</f>
        <v>33095</v>
      </c>
      <c r="F38" t="s">
        <v>235</v>
      </c>
      <c r="H38" t="s">
        <v>865</v>
      </c>
      <c r="I38" s="6">
        <v>40910</v>
      </c>
      <c r="K38" s="6" t="s">
        <v>386</v>
      </c>
      <c r="L38" t="str">
        <f>PROPER(VLOOKUP(Personel!A38,denem!A:AC,10,0))</f>
        <v>İstanbul Üniversitesi</v>
      </c>
      <c r="M38" t="str">
        <f>PROPER(VLOOKUP(Personel!A38,denem!A:AC,11,0))</f>
        <v>Sağ. Hiz. Mes. Yo Radyoloji Bölümü</v>
      </c>
      <c r="N38" s="6">
        <f>VLOOKUP(Personel!A38,denem!A:AC,12,0)</f>
        <v>40347</v>
      </c>
      <c r="O38" t="str">
        <f>PROPER(VLOOKUP(Personel!A38,denem!A:AC,13,0))</f>
        <v>905</v>
      </c>
      <c r="X38" t="s">
        <v>31</v>
      </c>
      <c r="AC38" t="s">
        <v>32</v>
      </c>
    </row>
    <row r="39" spans="1:29" x14ac:dyDescent="0.25">
      <c r="A39" s="8">
        <v>33946154308</v>
      </c>
      <c r="B39" t="s">
        <v>71</v>
      </c>
      <c r="C39" s="7" t="e">
        <f>VLOOKUP(Personel!A39,denem!A:AC,8,0)</f>
        <v>#N/A</v>
      </c>
      <c r="D39" s="6" t="e">
        <f>VLOOKUP(Personel!A39,denem!A:AC,9,0)</f>
        <v>#N/A</v>
      </c>
      <c r="F39" t="s">
        <v>985</v>
      </c>
      <c r="H39" t="e">
        <v>#N/A</v>
      </c>
      <c r="I39" s="6" t="e">
        <v>#N/A</v>
      </c>
      <c r="K39" s="6" t="e">
        <v>#N/A</v>
      </c>
      <c r="L39" t="e">
        <f>PROPER(VLOOKUP(Personel!A39,denem!A:AC,10,0))</f>
        <v>#N/A</v>
      </c>
      <c r="M39" t="e">
        <f>PROPER(VLOOKUP(Personel!A39,denem!A:AC,11,0))</f>
        <v>#N/A</v>
      </c>
      <c r="N39" s="6" t="e">
        <f>VLOOKUP(Personel!A39,denem!A:AC,12,0)</f>
        <v>#N/A</v>
      </c>
      <c r="O39" t="e">
        <f>PROPER(VLOOKUP(Personel!A39,denem!A:AC,13,0))</f>
        <v>#N/A</v>
      </c>
      <c r="X39" t="s">
        <v>31</v>
      </c>
      <c r="AC39" t="s">
        <v>32</v>
      </c>
    </row>
    <row r="40" spans="1:29" x14ac:dyDescent="0.25">
      <c r="A40" s="8">
        <v>28762644492</v>
      </c>
      <c r="B40" t="s">
        <v>72</v>
      </c>
      <c r="C40" s="7" t="e">
        <f>VLOOKUP(Personel!A40,denem!A:AC,8,0)</f>
        <v>#N/A</v>
      </c>
      <c r="D40" s="6" t="e">
        <f>VLOOKUP(Personel!A40,denem!A:AC,9,0)</f>
        <v>#N/A</v>
      </c>
      <c r="F40" t="s">
        <v>235</v>
      </c>
      <c r="H40" t="s">
        <v>869</v>
      </c>
      <c r="I40" s="6">
        <v>40914</v>
      </c>
      <c r="K40" s="6" t="e">
        <v>#N/A</v>
      </c>
      <c r="L40" t="e">
        <f>PROPER(VLOOKUP(Personel!A40,denem!A:AC,10,0))</f>
        <v>#N/A</v>
      </c>
      <c r="M40" t="e">
        <f>PROPER(VLOOKUP(Personel!A40,denem!A:AC,11,0))</f>
        <v>#N/A</v>
      </c>
      <c r="N40" s="6" t="e">
        <f>VLOOKUP(Personel!A40,denem!A:AC,12,0)</f>
        <v>#N/A</v>
      </c>
      <c r="O40" t="e">
        <f>PROPER(VLOOKUP(Personel!A40,denem!A:AC,13,0))</f>
        <v>#N/A</v>
      </c>
      <c r="X40" t="s">
        <v>31</v>
      </c>
      <c r="AC40" t="s">
        <v>32</v>
      </c>
    </row>
    <row r="41" spans="1:29" x14ac:dyDescent="0.25">
      <c r="A41" s="8">
        <v>12569465558</v>
      </c>
      <c r="B41" t="s">
        <v>73</v>
      </c>
      <c r="C41" s="7" t="e">
        <f>VLOOKUP(Personel!A41,denem!A:AC,8,0)</f>
        <v>#N/A</v>
      </c>
      <c r="D41" s="6" t="e">
        <f>VLOOKUP(Personel!A41,denem!A:AC,9,0)</f>
        <v>#N/A</v>
      </c>
      <c r="F41" t="s">
        <v>994</v>
      </c>
      <c r="H41" t="e">
        <v>#N/A</v>
      </c>
      <c r="I41" s="6" t="e">
        <v>#N/A</v>
      </c>
      <c r="K41" s="6" t="e">
        <v>#N/A</v>
      </c>
      <c r="L41" t="e">
        <f>PROPER(VLOOKUP(Personel!A41,denem!A:AC,10,0))</f>
        <v>#N/A</v>
      </c>
      <c r="M41" t="e">
        <f>PROPER(VLOOKUP(Personel!A41,denem!A:AC,11,0))</f>
        <v>#N/A</v>
      </c>
      <c r="N41" s="6" t="e">
        <f>VLOOKUP(Personel!A41,denem!A:AC,12,0)</f>
        <v>#N/A</v>
      </c>
      <c r="O41" t="e">
        <f>PROPER(VLOOKUP(Personel!A41,denem!A:AC,13,0))</f>
        <v>#N/A</v>
      </c>
      <c r="X41" t="s">
        <v>31</v>
      </c>
      <c r="AC41" t="s">
        <v>32</v>
      </c>
    </row>
    <row r="42" spans="1:29" x14ac:dyDescent="0.25">
      <c r="A42" s="8">
        <v>19370884370</v>
      </c>
      <c r="B42" t="s">
        <v>74</v>
      </c>
      <c r="C42" s="7" t="e">
        <f>VLOOKUP(Personel!A42,denem!A:AC,8,0)</f>
        <v>#N/A</v>
      </c>
      <c r="D42" s="6" t="e">
        <f>VLOOKUP(Personel!A42,denem!A:AC,9,0)</f>
        <v>#N/A</v>
      </c>
      <c r="F42" t="s">
        <v>985</v>
      </c>
      <c r="H42" t="e">
        <v>#N/A</v>
      </c>
      <c r="I42" s="6" t="e">
        <v>#N/A</v>
      </c>
      <c r="K42" s="6" t="e">
        <v>#N/A</v>
      </c>
      <c r="L42" t="e">
        <f>PROPER(VLOOKUP(Personel!A42,denem!A:AC,10,0))</f>
        <v>#N/A</v>
      </c>
      <c r="M42" t="e">
        <f>PROPER(VLOOKUP(Personel!A42,denem!A:AC,11,0))</f>
        <v>#N/A</v>
      </c>
      <c r="N42" s="6" t="e">
        <f>VLOOKUP(Personel!A42,denem!A:AC,12,0)</f>
        <v>#N/A</v>
      </c>
      <c r="O42" t="e">
        <f>PROPER(VLOOKUP(Personel!A42,denem!A:AC,13,0))</f>
        <v>#N/A</v>
      </c>
      <c r="X42" t="s">
        <v>31</v>
      </c>
      <c r="AC42" t="s">
        <v>32</v>
      </c>
    </row>
    <row r="43" spans="1:29" x14ac:dyDescent="0.25">
      <c r="A43" s="8">
        <v>24397691528</v>
      </c>
      <c r="B43" t="s">
        <v>75</v>
      </c>
      <c r="C43" s="7" t="e">
        <f>VLOOKUP(Personel!A43,denem!A:AC,8,0)</f>
        <v>#N/A</v>
      </c>
      <c r="D43" s="6" t="e">
        <f>VLOOKUP(Personel!A43,denem!A:AC,9,0)</f>
        <v>#N/A</v>
      </c>
      <c r="F43" t="s">
        <v>993</v>
      </c>
      <c r="H43" t="e">
        <v>#N/A</v>
      </c>
      <c r="I43" s="6" t="e">
        <v>#N/A</v>
      </c>
      <c r="K43" s="6" t="e">
        <v>#N/A</v>
      </c>
      <c r="L43" t="e">
        <f>PROPER(VLOOKUP(Personel!A43,denem!A:AC,10,0))</f>
        <v>#N/A</v>
      </c>
      <c r="M43" t="e">
        <f>PROPER(VLOOKUP(Personel!A43,denem!A:AC,11,0))</f>
        <v>#N/A</v>
      </c>
      <c r="N43" s="6" t="e">
        <f>VLOOKUP(Personel!A43,denem!A:AC,12,0)</f>
        <v>#N/A</v>
      </c>
      <c r="O43" t="e">
        <f>PROPER(VLOOKUP(Personel!A43,denem!A:AC,13,0))</f>
        <v>#N/A</v>
      </c>
      <c r="X43" t="s">
        <v>31</v>
      </c>
      <c r="AC43" t="s">
        <v>32</v>
      </c>
    </row>
    <row r="44" spans="1:29" x14ac:dyDescent="0.25">
      <c r="A44" s="8">
        <v>44974017398</v>
      </c>
      <c r="B44" t="s">
        <v>76</v>
      </c>
      <c r="C44" s="7" t="e">
        <f>VLOOKUP(Personel!A44,denem!A:AC,8,0)</f>
        <v>#N/A</v>
      </c>
      <c r="D44" s="6" t="e">
        <f>VLOOKUP(Personel!A44,denem!A:AC,9,0)</f>
        <v>#N/A</v>
      </c>
      <c r="F44" t="s">
        <v>993</v>
      </c>
      <c r="H44" t="e">
        <v>#N/A</v>
      </c>
      <c r="I44" s="6" t="e">
        <v>#N/A</v>
      </c>
      <c r="K44" s="6" t="e">
        <v>#N/A</v>
      </c>
      <c r="L44" t="e">
        <f>PROPER(VLOOKUP(Personel!A44,denem!A:AC,10,0))</f>
        <v>#N/A</v>
      </c>
      <c r="M44" t="e">
        <f>PROPER(VLOOKUP(Personel!A44,denem!A:AC,11,0))</f>
        <v>#N/A</v>
      </c>
      <c r="N44" s="6" t="e">
        <f>VLOOKUP(Personel!A44,denem!A:AC,12,0)</f>
        <v>#N/A</v>
      </c>
      <c r="O44" t="e">
        <f>PROPER(VLOOKUP(Personel!A44,denem!A:AC,13,0))</f>
        <v>#N/A</v>
      </c>
      <c r="X44" t="s">
        <v>31</v>
      </c>
      <c r="AC44" t="s">
        <v>32</v>
      </c>
    </row>
    <row r="45" spans="1:29" x14ac:dyDescent="0.25">
      <c r="A45" s="8">
        <v>34937208444</v>
      </c>
      <c r="B45" t="s">
        <v>77</v>
      </c>
      <c r="C45" s="7" t="e">
        <f>VLOOKUP(Personel!A45,denem!A:AC,8,0)</f>
        <v>#N/A</v>
      </c>
      <c r="D45" s="6" t="e">
        <f>VLOOKUP(Personel!A45,denem!A:AC,9,0)</f>
        <v>#N/A</v>
      </c>
      <c r="F45" t="s">
        <v>986</v>
      </c>
      <c r="H45" t="e">
        <v>#N/A</v>
      </c>
      <c r="I45" s="6" t="e">
        <v>#N/A</v>
      </c>
      <c r="K45" s="6" t="e">
        <v>#N/A</v>
      </c>
      <c r="L45" t="e">
        <f>PROPER(VLOOKUP(Personel!A45,denem!A:AC,10,0))</f>
        <v>#N/A</v>
      </c>
      <c r="M45" t="e">
        <f>PROPER(VLOOKUP(Personel!A45,denem!A:AC,11,0))</f>
        <v>#N/A</v>
      </c>
      <c r="N45" s="6" t="e">
        <f>VLOOKUP(Personel!A45,denem!A:AC,12,0)</f>
        <v>#N/A</v>
      </c>
      <c r="O45" t="e">
        <f>PROPER(VLOOKUP(Personel!A45,denem!A:AC,13,0))</f>
        <v>#N/A</v>
      </c>
      <c r="X45" t="s">
        <v>31</v>
      </c>
      <c r="AC45" t="s">
        <v>32</v>
      </c>
    </row>
    <row r="46" spans="1:29" x14ac:dyDescent="0.25">
      <c r="A46" s="8">
        <v>27259973206</v>
      </c>
      <c r="B46" t="s">
        <v>78</v>
      </c>
      <c r="C46" s="7" t="str">
        <f>VLOOKUP(Personel!A46,denem!A:AC,8,0)</f>
        <v>İstanbul</v>
      </c>
      <c r="D46" s="6">
        <f>VLOOKUP(Personel!A46,denem!A:AC,9,0)</f>
        <v>34340</v>
      </c>
      <c r="F46" t="s">
        <v>995</v>
      </c>
      <c r="H46" t="e">
        <v>#N/A</v>
      </c>
      <c r="I46" s="6" t="e">
        <v>#N/A</v>
      </c>
      <c r="K46" s="6" t="s">
        <v>397</v>
      </c>
      <c r="L46" t="str">
        <f>PROPER(VLOOKUP(Personel!A46,denem!A:AC,10,0))</f>
        <v>Nişantaşı Üniversitesi</v>
      </c>
      <c r="M46" t="str">
        <f>PROPER(VLOOKUP(Personel!A46,denem!A:AC,11,0))</f>
        <v>Tıbbi Görüntüleme M.Y.0</v>
      </c>
      <c r="N46" s="6">
        <f>VLOOKUP(Personel!A46,denem!A:AC,12,0)</f>
        <v>0</v>
      </c>
      <c r="O46" t="str">
        <f>PROPER(VLOOKUP(Personel!A46,denem!A:AC,13,0))</f>
        <v/>
      </c>
      <c r="X46" t="s">
        <v>31</v>
      </c>
      <c r="AC46" t="s">
        <v>32</v>
      </c>
    </row>
    <row r="47" spans="1:29" x14ac:dyDescent="0.25">
      <c r="A47" s="8">
        <v>29935811918</v>
      </c>
      <c r="B47" t="s">
        <v>79</v>
      </c>
      <c r="C47" s="7" t="e">
        <f>VLOOKUP(Personel!A47,denem!A:AC,8,0)</f>
        <v>#N/A</v>
      </c>
      <c r="D47" s="6" t="e">
        <f>VLOOKUP(Personel!A47,denem!A:AC,9,0)</f>
        <v>#N/A</v>
      </c>
      <c r="F47" t="s">
        <v>986</v>
      </c>
      <c r="H47" t="e">
        <v>#N/A</v>
      </c>
      <c r="I47" s="6" t="e">
        <v>#N/A</v>
      </c>
      <c r="K47" s="6" t="e">
        <v>#N/A</v>
      </c>
      <c r="L47" t="e">
        <f>PROPER(VLOOKUP(Personel!A47,denem!A:AC,10,0))</f>
        <v>#N/A</v>
      </c>
      <c r="M47" t="e">
        <f>PROPER(VLOOKUP(Personel!A47,denem!A:AC,11,0))</f>
        <v>#N/A</v>
      </c>
      <c r="N47" s="6" t="e">
        <f>VLOOKUP(Personel!A47,denem!A:AC,12,0)</f>
        <v>#N/A</v>
      </c>
      <c r="O47" t="e">
        <f>PROPER(VLOOKUP(Personel!A47,denem!A:AC,13,0))</f>
        <v>#N/A</v>
      </c>
      <c r="X47" t="s">
        <v>31</v>
      </c>
      <c r="AC47" t="s">
        <v>32</v>
      </c>
    </row>
    <row r="48" spans="1:29" x14ac:dyDescent="0.25">
      <c r="A48" s="8">
        <v>12247655530</v>
      </c>
      <c r="B48" t="s">
        <v>80</v>
      </c>
      <c r="C48" s="7" t="str">
        <f>VLOOKUP(Personel!A48,denem!A:AC,8,0)</f>
        <v>Borçka</v>
      </c>
      <c r="D48" s="6">
        <f>VLOOKUP(Personel!A48,denem!A:AC,9,0)</f>
        <v>32258</v>
      </c>
      <c r="F48" t="s">
        <v>235</v>
      </c>
      <c r="H48" t="e">
        <v>#N/A</v>
      </c>
      <c r="I48" s="6" t="e">
        <v>#N/A</v>
      </c>
      <c r="K48" s="6" t="s">
        <v>402</v>
      </c>
      <c r="L48" t="str">
        <f>PROPER(VLOOKUP(Personel!A48,denem!A:AC,10,0))</f>
        <v xml:space="preserve">İstanbul Üniversitesi </v>
      </c>
      <c r="M48" t="str">
        <f>PROPER(VLOOKUP(Personel!A48,denem!A:AC,11,0))</f>
        <v>Sağ. Hiz. Mes. Yo Radyoloji Bölümü</v>
      </c>
      <c r="N48" s="6">
        <f>VLOOKUP(Personel!A48,denem!A:AC,12,0)</f>
        <v>39633</v>
      </c>
      <c r="O48" t="str">
        <f>PROPER(VLOOKUP(Personel!A48,denem!A:AC,13,0))</f>
        <v>841</v>
      </c>
      <c r="X48" t="s">
        <v>31</v>
      </c>
      <c r="AC48" t="s">
        <v>32</v>
      </c>
    </row>
    <row r="49" spans="1:29" x14ac:dyDescent="0.25">
      <c r="A49" s="8">
        <v>37843810688</v>
      </c>
      <c r="B49" t="s">
        <v>81</v>
      </c>
      <c r="C49" s="7" t="e">
        <f>VLOOKUP(Personel!A49,denem!A:AC,8,0)</f>
        <v>#N/A</v>
      </c>
      <c r="D49" s="6" t="e">
        <f>VLOOKUP(Personel!A49,denem!A:AC,9,0)</f>
        <v>#N/A</v>
      </c>
      <c r="F49" t="s">
        <v>985</v>
      </c>
      <c r="H49" t="e">
        <v>#N/A</v>
      </c>
      <c r="I49" s="6" t="e">
        <v>#N/A</v>
      </c>
      <c r="K49" s="6" t="e">
        <v>#N/A</v>
      </c>
      <c r="L49" t="e">
        <f>PROPER(VLOOKUP(Personel!A49,denem!A:AC,10,0))</f>
        <v>#N/A</v>
      </c>
      <c r="M49" t="e">
        <f>PROPER(VLOOKUP(Personel!A49,denem!A:AC,11,0))</f>
        <v>#N/A</v>
      </c>
      <c r="N49" s="6" t="e">
        <f>VLOOKUP(Personel!A49,denem!A:AC,12,0)</f>
        <v>#N/A</v>
      </c>
      <c r="O49" t="e">
        <f>PROPER(VLOOKUP(Personel!A49,denem!A:AC,13,0))</f>
        <v>#N/A</v>
      </c>
      <c r="X49" t="s">
        <v>31</v>
      </c>
      <c r="AC49" t="s">
        <v>32</v>
      </c>
    </row>
    <row r="50" spans="1:29" x14ac:dyDescent="0.25">
      <c r="A50" s="8">
        <v>63796380978</v>
      </c>
      <c r="B50" t="s">
        <v>82</v>
      </c>
      <c r="C50" s="7" t="e">
        <f>VLOOKUP(Personel!A50,denem!A:AC,8,0)</f>
        <v>#N/A</v>
      </c>
      <c r="D50" s="6" t="e">
        <f>VLOOKUP(Personel!A50,denem!A:AC,9,0)</f>
        <v>#N/A</v>
      </c>
      <c r="F50" t="s">
        <v>986</v>
      </c>
      <c r="H50" t="e">
        <v>#N/A</v>
      </c>
      <c r="I50" s="6" t="e">
        <v>#N/A</v>
      </c>
      <c r="K50" s="6" t="e">
        <v>#N/A</v>
      </c>
      <c r="L50" t="e">
        <f>PROPER(VLOOKUP(Personel!A50,denem!A:AC,10,0))</f>
        <v>#N/A</v>
      </c>
      <c r="M50" t="e">
        <f>PROPER(VLOOKUP(Personel!A50,denem!A:AC,11,0))</f>
        <v>#N/A</v>
      </c>
      <c r="N50" s="6" t="e">
        <f>VLOOKUP(Personel!A50,denem!A:AC,12,0)</f>
        <v>#N/A</v>
      </c>
      <c r="O50" t="e">
        <f>PROPER(VLOOKUP(Personel!A50,denem!A:AC,13,0))</f>
        <v>#N/A</v>
      </c>
      <c r="X50" t="s">
        <v>31</v>
      </c>
      <c r="AC50" t="s">
        <v>32</v>
      </c>
    </row>
    <row r="51" spans="1:29" x14ac:dyDescent="0.25">
      <c r="A51" s="8">
        <v>31388172744</v>
      </c>
      <c r="B51" t="s">
        <v>83</v>
      </c>
      <c r="C51" s="7" t="str">
        <f>VLOOKUP(Personel!A51,denem!A:AC,8,0)</f>
        <v>Batman</v>
      </c>
      <c r="D51" s="6">
        <f>VLOOKUP(Personel!A51,denem!A:AC,9,0)</f>
        <v>35432</v>
      </c>
      <c r="F51" t="s">
        <v>995</v>
      </c>
      <c r="H51" t="s">
        <v>871</v>
      </c>
      <c r="I51" s="6">
        <v>44760</v>
      </c>
      <c r="K51" s="6" t="s">
        <v>406</v>
      </c>
      <c r="L51" t="str">
        <f>PROPER(VLOOKUP(Personel!A51,denem!A:AC,10,0))</f>
        <v>İstanbul Medipol Üniversitesi</v>
      </c>
      <c r="M51" t="str">
        <f>PROPER(VLOOKUP(Personel!A51,denem!A:AC,11,0))</f>
        <v>Sağ. Hiz. Mes. Yo Radyoloji Bölümü</v>
      </c>
      <c r="N51" s="6">
        <f>VLOOKUP(Personel!A51,denem!A:AC,12,0)</f>
        <v>42894</v>
      </c>
      <c r="O51" t="str">
        <f>PROPER(VLOOKUP(Personel!A51,denem!A:AC,13,0))</f>
        <v xml:space="preserve"> 17Hm0026</v>
      </c>
      <c r="X51" t="s">
        <v>31</v>
      </c>
      <c r="AC51" t="s">
        <v>32</v>
      </c>
    </row>
    <row r="52" spans="1:29" x14ac:dyDescent="0.25">
      <c r="A52" s="8">
        <v>46087437582</v>
      </c>
      <c r="B52" t="s">
        <v>84</v>
      </c>
      <c r="C52" s="7" t="e">
        <f>VLOOKUP(Personel!A52,denem!A:AC,8,0)</f>
        <v>#N/A</v>
      </c>
      <c r="D52" s="6" t="e">
        <f>VLOOKUP(Personel!A52,denem!A:AC,9,0)</f>
        <v>#N/A</v>
      </c>
      <c r="F52" t="s">
        <v>993</v>
      </c>
      <c r="H52" t="e">
        <v>#N/A</v>
      </c>
      <c r="I52" s="6" t="e">
        <v>#N/A</v>
      </c>
      <c r="K52" s="6" t="e">
        <v>#N/A</v>
      </c>
      <c r="L52" t="e">
        <f>PROPER(VLOOKUP(Personel!A52,denem!A:AC,10,0))</f>
        <v>#N/A</v>
      </c>
      <c r="M52" t="e">
        <f>PROPER(VLOOKUP(Personel!A52,denem!A:AC,11,0))</f>
        <v>#N/A</v>
      </c>
      <c r="N52" s="6" t="e">
        <f>VLOOKUP(Personel!A52,denem!A:AC,12,0)</f>
        <v>#N/A</v>
      </c>
      <c r="O52" t="e">
        <f>PROPER(VLOOKUP(Personel!A52,denem!A:AC,13,0))</f>
        <v>#N/A</v>
      </c>
      <c r="X52" t="s">
        <v>31</v>
      </c>
      <c r="AC52" t="s">
        <v>32</v>
      </c>
    </row>
    <row r="53" spans="1:29" x14ac:dyDescent="0.25">
      <c r="A53" s="8">
        <v>31531851298</v>
      </c>
      <c r="B53" t="s">
        <v>85</v>
      </c>
      <c r="C53" s="7" t="str">
        <f>VLOOKUP(Personel!A53,denem!A:AC,8,0)</f>
        <v>İstanbul</v>
      </c>
      <c r="D53" s="6">
        <f>VLOOKUP(Personel!A53,denem!A:AC,9,0)</f>
        <v>31072</v>
      </c>
      <c r="F53" t="s">
        <v>446</v>
      </c>
      <c r="H53" t="e">
        <v>#N/A</v>
      </c>
      <c r="I53" s="6" t="e">
        <v>#N/A</v>
      </c>
      <c r="K53" s="6" t="s">
        <v>412</v>
      </c>
      <c r="L53" t="str">
        <f>PROPER(VLOOKUP(Personel!A53,denem!A:AC,10,0))</f>
        <v>Haydarpaşa Bülent Akarcalı Sağlık Meslek Lisesi</v>
      </c>
      <c r="M53" t="str">
        <f>PROPER(VLOOKUP(Personel!A53,denem!A:AC,11,0))</f>
        <v/>
      </c>
      <c r="N53" s="6">
        <f>VLOOKUP(Personel!A53,denem!A:AC,12,0)</f>
        <v>0</v>
      </c>
      <c r="O53" t="str">
        <f>PROPER(VLOOKUP(Personel!A53,denem!A:AC,13,0))</f>
        <v/>
      </c>
      <c r="X53" t="s">
        <v>31</v>
      </c>
      <c r="AC53" t="s">
        <v>32</v>
      </c>
    </row>
    <row r="54" spans="1:29" x14ac:dyDescent="0.25">
      <c r="A54" s="8">
        <v>40681947560</v>
      </c>
      <c r="B54" t="s">
        <v>86</v>
      </c>
      <c r="C54" s="7" t="e">
        <f>VLOOKUP(Personel!A54,denem!A:AC,8,0)</f>
        <v>#N/A</v>
      </c>
      <c r="D54" s="6" t="e">
        <f>VLOOKUP(Personel!A54,denem!A:AC,9,0)</f>
        <v>#N/A</v>
      </c>
      <c r="F54" t="s">
        <v>993</v>
      </c>
      <c r="H54" t="e">
        <v>#N/A</v>
      </c>
      <c r="I54" s="6" t="e">
        <v>#N/A</v>
      </c>
      <c r="K54" s="6" t="e">
        <v>#N/A</v>
      </c>
      <c r="L54" t="e">
        <f>PROPER(VLOOKUP(Personel!A54,denem!A:AC,10,0))</f>
        <v>#N/A</v>
      </c>
      <c r="M54" t="e">
        <f>PROPER(VLOOKUP(Personel!A54,denem!A:AC,11,0))</f>
        <v>#N/A</v>
      </c>
      <c r="N54" s="6" t="e">
        <f>VLOOKUP(Personel!A54,denem!A:AC,12,0)</f>
        <v>#N/A</v>
      </c>
      <c r="O54" t="e">
        <f>PROPER(VLOOKUP(Personel!A54,denem!A:AC,13,0))</f>
        <v>#N/A</v>
      </c>
      <c r="X54" t="s">
        <v>31</v>
      </c>
      <c r="AC54" t="s">
        <v>32</v>
      </c>
    </row>
    <row r="55" spans="1:29" x14ac:dyDescent="0.25">
      <c r="A55" s="8">
        <v>20564739512</v>
      </c>
      <c r="B55" t="s">
        <v>87</v>
      </c>
      <c r="C55" s="7" t="str">
        <f>VLOOKUP(Personel!A55,denem!A:AC,8,0)</f>
        <v>Şanlıurfa</v>
      </c>
      <c r="D55" s="6">
        <f>VLOOKUP(Personel!A55,denem!A:AC,9,0)</f>
        <v>25934</v>
      </c>
      <c r="F55" t="s">
        <v>235</v>
      </c>
      <c r="H55" t="s">
        <v>874</v>
      </c>
      <c r="I55" s="6">
        <v>41001</v>
      </c>
      <c r="K55" s="6" t="s">
        <v>417</v>
      </c>
      <c r="L55" t="str">
        <f>PROPER(VLOOKUP(Personel!A55,denem!A:AC,10,0))</f>
        <v>Yeni Yüzyıl Üniversitesi</v>
      </c>
      <c r="M55" t="str">
        <f>PROPER(VLOOKUP(Personel!A55,denem!A:AC,11,0))</f>
        <v>Sağ. Hiz. Mes. Yo Radyoloji Bölümü</v>
      </c>
      <c r="N55" s="6">
        <f>VLOOKUP(Personel!A55,denem!A:AC,12,0)</f>
        <v>35997</v>
      </c>
      <c r="O55" t="str">
        <f>PROPER(VLOOKUP(Personel!A55,denem!A:AC,13,0))</f>
        <v>61</v>
      </c>
      <c r="X55" t="s">
        <v>31</v>
      </c>
      <c r="AC55" t="s">
        <v>32</v>
      </c>
    </row>
    <row r="56" spans="1:29" x14ac:dyDescent="0.25">
      <c r="A56" s="8">
        <v>19136259152</v>
      </c>
      <c r="B56" t="s">
        <v>88</v>
      </c>
      <c r="C56" s="7" t="e">
        <f>VLOOKUP(Personel!A56,denem!A:AC,8,0)</f>
        <v>#N/A</v>
      </c>
      <c r="D56" s="6" t="e">
        <f>VLOOKUP(Personel!A56,denem!A:AC,9,0)</f>
        <v>#N/A</v>
      </c>
      <c r="F56" t="s">
        <v>235</v>
      </c>
      <c r="H56" t="e">
        <v>#N/A</v>
      </c>
      <c r="I56" s="6" t="e">
        <v>#N/A</v>
      </c>
      <c r="K56" s="6" t="e">
        <v>#N/A</v>
      </c>
      <c r="L56" t="e">
        <f>PROPER(VLOOKUP(Personel!A56,denem!A:AC,10,0))</f>
        <v>#N/A</v>
      </c>
      <c r="M56" t="e">
        <f>PROPER(VLOOKUP(Personel!A56,denem!A:AC,11,0))</f>
        <v>#N/A</v>
      </c>
      <c r="N56" s="6" t="e">
        <f>VLOOKUP(Personel!A56,denem!A:AC,12,0)</f>
        <v>#N/A</v>
      </c>
      <c r="O56" t="e">
        <f>PROPER(VLOOKUP(Personel!A56,denem!A:AC,13,0))</f>
        <v>#N/A</v>
      </c>
      <c r="X56" t="s">
        <v>31</v>
      </c>
      <c r="AC56" t="s">
        <v>32</v>
      </c>
    </row>
    <row r="57" spans="1:29" x14ac:dyDescent="0.25">
      <c r="A57" s="8">
        <v>99402629056</v>
      </c>
      <c r="B57" t="s">
        <v>89</v>
      </c>
      <c r="C57" s="7" t="e">
        <f>VLOOKUP(Personel!A57,denem!A:AC,8,0)</f>
        <v>#N/A</v>
      </c>
      <c r="D57" s="6" t="e">
        <f>VLOOKUP(Personel!A57,denem!A:AC,9,0)</f>
        <v>#N/A</v>
      </c>
      <c r="F57" t="s">
        <v>990</v>
      </c>
      <c r="H57" t="e">
        <v>#N/A</v>
      </c>
      <c r="I57" s="6" t="e">
        <v>#N/A</v>
      </c>
      <c r="K57" s="6" t="e">
        <v>#N/A</v>
      </c>
      <c r="L57" t="e">
        <f>PROPER(VLOOKUP(Personel!A57,denem!A:AC,10,0))</f>
        <v>#N/A</v>
      </c>
      <c r="M57" t="e">
        <f>PROPER(VLOOKUP(Personel!A57,denem!A:AC,11,0))</f>
        <v>#N/A</v>
      </c>
      <c r="N57" s="6" t="e">
        <f>VLOOKUP(Personel!A57,denem!A:AC,12,0)</f>
        <v>#N/A</v>
      </c>
      <c r="O57" t="e">
        <f>PROPER(VLOOKUP(Personel!A57,denem!A:AC,13,0))</f>
        <v>#N/A</v>
      </c>
      <c r="X57" t="s">
        <v>31</v>
      </c>
      <c r="AC57" t="s">
        <v>32</v>
      </c>
    </row>
    <row r="58" spans="1:29" x14ac:dyDescent="0.25">
      <c r="A58" s="8">
        <v>24613311988</v>
      </c>
      <c r="B58" t="s">
        <v>90</v>
      </c>
      <c r="C58" s="7" t="str">
        <f>VLOOKUP(Personel!A58,denem!A:AC,8,0)</f>
        <v>İstanbul</v>
      </c>
      <c r="D58" s="6">
        <f>VLOOKUP(Personel!A58,denem!A:AC,9,0)</f>
        <v>35949</v>
      </c>
      <c r="F58" t="s">
        <v>446</v>
      </c>
      <c r="H58" t="s">
        <v>879</v>
      </c>
      <c r="I58" s="6">
        <v>44060</v>
      </c>
      <c r="K58" s="6" t="s">
        <v>438</v>
      </c>
      <c r="L58" t="str">
        <f>PROPER(VLOOKUP(Personel!A58,denem!A:AC,10,0))</f>
        <v>Marmara Üniversitesi</v>
      </c>
      <c r="M58" t="str">
        <f>PROPER(VLOOKUP(Personel!A58,denem!A:AC,11,0))</f>
        <v>Sağ. Hiz. Mes. Yo Radyoloji Bölümü</v>
      </c>
      <c r="N58" s="6">
        <f>VLOOKUP(Personel!A58,denem!A:AC,12,0)</f>
        <v>44242</v>
      </c>
      <c r="O58" t="str">
        <f>PROPER(VLOOKUP(Personel!A58,denem!A:AC,13,0))</f>
        <v xml:space="preserve"> 2021A350516044</v>
      </c>
      <c r="X58" t="s">
        <v>31</v>
      </c>
      <c r="AC58" t="s">
        <v>32</v>
      </c>
    </row>
    <row r="59" spans="1:29" x14ac:dyDescent="0.25">
      <c r="A59" s="8">
        <v>45238830586</v>
      </c>
      <c r="B59" t="s">
        <v>91</v>
      </c>
      <c r="C59" s="7" t="str">
        <f>VLOOKUP(Personel!A59,denem!A:AC,8,0)</f>
        <v>Boyabat</v>
      </c>
      <c r="D59" s="6">
        <f>VLOOKUP(Personel!A59,denem!A:AC,9,0)</f>
        <v>32538</v>
      </c>
      <c r="F59" t="s">
        <v>446</v>
      </c>
      <c r="H59" t="s">
        <v>882</v>
      </c>
      <c r="I59" s="6">
        <v>41562</v>
      </c>
      <c r="K59" s="6" t="s">
        <v>443</v>
      </c>
      <c r="L59" t="str">
        <f>PROPER(VLOOKUP(Personel!A59,denem!A:AC,10,0))</f>
        <v>Marmara Üniversitesi</v>
      </c>
      <c r="M59" t="str">
        <f>PROPER(VLOOKUP(Personel!A59,denem!A:AC,11,0))</f>
        <v>Sağ. Hiz. Mes. Yo Radyoloji Bölümü</v>
      </c>
      <c r="N59" s="6">
        <f>VLOOKUP(Personel!A59,denem!A:AC,12,0)</f>
        <v>42185</v>
      </c>
      <c r="O59" t="str">
        <f>PROPER(VLOOKUP(Personel!A59,denem!A:AC,13,0))</f>
        <v>2015A350507981</v>
      </c>
      <c r="X59" t="s">
        <v>31</v>
      </c>
      <c r="AC59" t="s">
        <v>32</v>
      </c>
    </row>
    <row r="60" spans="1:29" x14ac:dyDescent="0.25">
      <c r="A60" s="8">
        <v>22460522250</v>
      </c>
      <c r="B60" t="s">
        <v>92</v>
      </c>
      <c r="C60" s="7" t="e">
        <f>VLOOKUP(Personel!A60,denem!A:AC,8,0)</f>
        <v>#N/A</v>
      </c>
      <c r="D60" s="6" t="e">
        <f>VLOOKUP(Personel!A60,denem!A:AC,9,0)</f>
        <v>#N/A</v>
      </c>
      <c r="F60" t="s">
        <v>985</v>
      </c>
      <c r="H60" t="e">
        <v>#N/A</v>
      </c>
      <c r="I60" s="6" t="e">
        <v>#N/A</v>
      </c>
      <c r="K60" s="6" t="e">
        <v>#N/A</v>
      </c>
      <c r="L60" t="e">
        <f>PROPER(VLOOKUP(Personel!A60,denem!A:AC,10,0))</f>
        <v>#N/A</v>
      </c>
      <c r="M60" t="e">
        <f>PROPER(VLOOKUP(Personel!A60,denem!A:AC,11,0))</f>
        <v>#N/A</v>
      </c>
      <c r="N60" s="6" t="e">
        <f>VLOOKUP(Personel!A60,denem!A:AC,12,0)</f>
        <v>#N/A</v>
      </c>
      <c r="O60" t="e">
        <f>PROPER(VLOOKUP(Personel!A60,denem!A:AC,13,0))</f>
        <v>#N/A</v>
      </c>
      <c r="X60" t="s">
        <v>31</v>
      </c>
      <c r="AC60" t="s">
        <v>32</v>
      </c>
    </row>
    <row r="61" spans="1:29" x14ac:dyDescent="0.25">
      <c r="A61" s="8">
        <v>54415383272</v>
      </c>
      <c r="B61" t="s">
        <v>93</v>
      </c>
      <c r="C61" s="7">
        <f>VLOOKUP(Personel!A61,denem!A:AC,8,0)</f>
        <v>0</v>
      </c>
      <c r="D61" s="6">
        <f>VLOOKUP(Personel!A61,denem!A:AC,9,0)</f>
        <v>31243</v>
      </c>
      <c r="F61" t="s">
        <v>235</v>
      </c>
      <c r="H61" t="s">
        <v>886</v>
      </c>
      <c r="I61" s="6">
        <v>41001</v>
      </c>
      <c r="K61" s="6" t="s">
        <v>448</v>
      </c>
      <c r="L61" t="str">
        <f>PROPER(VLOOKUP(Personel!A61,denem!A:AC,10,0))</f>
        <v xml:space="preserve">İstanbul Üniversitesi </v>
      </c>
      <c r="M61" t="str">
        <f>PROPER(VLOOKUP(Personel!A61,denem!A:AC,11,0))</f>
        <v>Cerrahpaşa Sağ. Hiz. Mes. Yo Radyoloji Bölümü</v>
      </c>
      <c r="N61" s="6">
        <f>VLOOKUP(Personel!A61,denem!A:AC,12,0)</f>
        <v>39268</v>
      </c>
      <c r="O61" t="str">
        <f>PROPER(VLOOKUP(Personel!A61,denem!A:AC,13,0))</f>
        <v>819</v>
      </c>
      <c r="X61" t="s">
        <v>31</v>
      </c>
      <c r="AC61" t="s">
        <v>32</v>
      </c>
    </row>
    <row r="62" spans="1:29" x14ac:dyDescent="0.25">
      <c r="A62" s="8">
        <v>22841362222</v>
      </c>
      <c r="B62" t="s">
        <v>94</v>
      </c>
      <c r="C62" s="7">
        <f>VLOOKUP(Personel!A62,denem!A:AC,8,0)</f>
        <v>0</v>
      </c>
      <c r="D62" s="6">
        <f>VLOOKUP(Personel!A62,denem!A:AC,9,0)</f>
        <v>29910</v>
      </c>
      <c r="F62" t="s">
        <v>235</v>
      </c>
      <c r="H62" t="e">
        <v>#N/A</v>
      </c>
      <c r="I62" s="6" t="e">
        <v>#N/A</v>
      </c>
      <c r="K62" s="6" t="s">
        <v>451</v>
      </c>
      <c r="L62" t="str">
        <f>PROPER(VLOOKUP(Personel!A62,denem!A:AC,10,0))</f>
        <v xml:space="preserve">Çukurova Üniversitesi </v>
      </c>
      <c r="M62" t="str">
        <f>PROPER(VLOOKUP(Personel!A62,denem!A:AC,11,0))</f>
        <v>Tıp Fakültesi</v>
      </c>
      <c r="N62" s="6">
        <f>VLOOKUP(Personel!A62,denem!A:AC,12,0)</f>
        <v>38506</v>
      </c>
      <c r="O62" t="str">
        <f>PROPER(VLOOKUP(Personel!A62,denem!A:AC,13,0))</f>
        <v/>
      </c>
      <c r="X62" t="s">
        <v>31</v>
      </c>
      <c r="AC62" t="s">
        <v>32</v>
      </c>
    </row>
    <row r="63" spans="1:29" x14ac:dyDescent="0.25">
      <c r="A63" s="8">
        <v>20848880862</v>
      </c>
      <c r="B63" t="s">
        <v>95</v>
      </c>
      <c r="C63" s="7" t="e">
        <f>VLOOKUP(Personel!A63,denem!A:AC,8,0)</f>
        <v>#N/A</v>
      </c>
      <c r="D63" s="6" t="e">
        <f>VLOOKUP(Personel!A63,denem!A:AC,9,0)</f>
        <v>#N/A</v>
      </c>
      <c r="F63" t="s">
        <v>996</v>
      </c>
      <c r="H63" t="e">
        <v>#N/A</v>
      </c>
      <c r="I63" s="6" t="e">
        <v>#N/A</v>
      </c>
      <c r="K63" s="6" t="e">
        <v>#N/A</v>
      </c>
      <c r="L63" t="e">
        <f>PROPER(VLOOKUP(Personel!A63,denem!A:AC,10,0))</f>
        <v>#N/A</v>
      </c>
      <c r="M63" t="e">
        <f>PROPER(VLOOKUP(Personel!A63,denem!A:AC,11,0))</f>
        <v>#N/A</v>
      </c>
      <c r="N63" s="6" t="e">
        <f>VLOOKUP(Personel!A63,denem!A:AC,12,0)</f>
        <v>#N/A</v>
      </c>
      <c r="O63" t="e">
        <f>PROPER(VLOOKUP(Personel!A63,denem!A:AC,13,0))</f>
        <v>#N/A</v>
      </c>
      <c r="X63" t="s">
        <v>31</v>
      </c>
      <c r="AC63" t="s">
        <v>32</v>
      </c>
    </row>
    <row r="64" spans="1:29" x14ac:dyDescent="0.25">
      <c r="A64" s="8">
        <v>53749733876</v>
      </c>
      <c r="B64" t="s">
        <v>96</v>
      </c>
      <c r="C64" s="7" t="e">
        <f>VLOOKUP(Personel!A64,denem!A:AC,8,0)</f>
        <v>#N/A</v>
      </c>
      <c r="D64" s="6" t="e">
        <f>VLOOKUP(Personel!A64,denem!A:AC,9,0)</f>
        <v>#N/A</v>
      </c>
      <c r="F64" t="s">
        <v>997</v>
      </c>
      <c r="H64" t="e">
        <v>#N/A</v>
      </c>
      <c r="I64" s="6" t="e">
        <v>#N/A</v>
      </c>
      <c r="K64" s="6" t="e">
        <v>#N/A</v>
      </c>
      <c r="L64" t="e">
        <f>PROPER(VLOOKUP(Personel!A64,denem!A:AC,10,0))</f>
        <v>#N/A</v>
      </c>
      <c r="M64" t="e">
        <f>PROPER(VLOOKUP(Personel!A64,denem!A:AC,11,0))</f>
        <v>#N/A</v>
      </c>
      <c r="N64" s="6" t="e">
        <f>VLOOKUP(Personel!A64,denem!A:AC,12,0)</f>
        <v>#N/A</v>
      </c>
      <c r="O64" t="e">
        <f>PROPER(VLOOKUP(Personel!A64,denem!A:AC,13,0))</f>
        <v>#N/A</v>
      </c>
      <c r="X64" t="s">
        <v>31</v>
      </c>
      <c r="AC64" t="s">
        <v>32</v>
      </c>
    </row>
    <row r="65" spans="1:29" x14ac:dyDescent="0.25">
      <c r="A65" s="8">
        <v>12613512146</v>
      </c>
      <c r="B65" t="s">
        <v>97</v>
      </c>
      <c r="C65" s="7" t="e">
        <f>VLOOKUP(Personel!A65,denem!A:AC,8,0)</f>
        <v>#N/A</v>
      </c>
      <c r="D65" s="6" t="e">
        <f>VLOOKUP(Personel!A65,denem!A:AC,9,0)</f>
        <v>#N/A</v>
      </c>
      <c r="F65" t="s">
        <v>986</v>
      </c>
      <c r="H65" t="e">
        <v>#N/A</v>
      </c>
      <c r="I65" s="6" t="e">
        <v>#N/A</v>
      </c>
      <c r="K65" s="6" t="e">
        <v>#N/A</v>
      </c>
      <c r="L65" t="e">
        <f>PROPER(VLOOKUP(Personel!A65,denem!A:AC,10,0))</f>
        <v>#N/A</v>
      </c>
      <c r="M65" t="e">
        <f>PROPER(VLOOKUP(Personel!A65,denem!A:AC,11,0))</f>
        <v>#N/A</v>
      </c>
      <c r="N65" s="6" t="e">
        <f>VLOOKUP(Personel!A65,denem!A:AC,12,0)</f>
        <v>#N/A</v>
      </c>
      <c r="O65" t="e">
        <f>PROPER(VLOOKUP(Personel!A65,denem!A:AC,13,0))</f>
        <v>#N/A</v>
      </c>
      <c r="X65" t="s">
        <v>31</v>
      </c>
      <c r="AC65" t="s">
        <v>32</v>
      </c>
    </row>
    <row r="66" spans="1:29" x14ac:dyDescent="0.25">
      <c r="A66" s="8">
        <v>14408761326</v>
      </c>
      <c r="B66" t="s">
        <v>98</v>
      </c>
      <c r="C66" s="7" t="e">
        <f>VLOOKUP(Personel!A66,denem!A:AC,8,0)</f>
        <v>#N/A</v>
      </c>
      <c r="D66" s="6" t="e">
        <f>VLOOKUP(Personel!A66,denem!A:AC,9,0)</f>
        <v>#N/A</v>
      </c>
      <c r="F66" t="s">
        <v>995</v>
      </c>
      <c r="H66" t="e">
        <v>#N/A</v>
      </c>
      <c r="I66" s="6" t="e">
        <v>#N/A</v>
      </c>
      <c r="K66" s="6" t="e">
        <v>#N/A</v>
      </c>
      <c r="L66" t="e">
        <f>PROPER(VLOOKUP(Personel!A66,denem!A:AC,10,0))</f>
        <v>#N/A</v>
      </c>
      <c r="M66" t="e">
        <f>PROPER(VLOOKUP(Personel!A66,denem!A:AC,11,0))</f>
        <v>#N/A</v>
      </c>
      <c r="N66" s="6" t="e">
        <f>VLOOKUP(Personel!A66,denem!A:AC,12,0)</f>
        <v>#N/A</v>
      </c>
      <c r="O66" t="e">
        <f>PROPER(VLOOKUP(Personel!A66,denem!A:AC,13,0))</f>
        <v>#N/A</v>
      </c>
      <c r="X66" t="s">
        <v>31</v>
      </c>
      <c r="AC66" t="s">
        <v>32</v>
      </c>
    </row>
    <row r="67" spans="1:29" x14ac:dyDescent="0.25">
      <c r="A67" s="8">
        <v>23204627972</v>
      </c>
      <c r="B67" t="s">
        <v>99</v>
      </c>
      <c r="C67" s="7" t="e">
        <f>VLOOKUP(Personel!A67,denem!A:AC,8,0)</f>
        <v>#N/A</v>
      </c>
      <c r="D67" s="6" t="e">
        <f>VLOOKUP(Personel!A67,denem!A:AC,9,0)</f>
        <v>#N/A</v>
      </c>
      <c r="F67" t="s">
        <v>235</v>
      </c>
      <c r="H67" t="e">
        <v>#N/A</v>
      </c>
      <c r="I67" s="6" t="e">
        <v>#N/A</v>
      </c>
      <c r="K67" s="6" t="e">
        <v>#N/A</v>
      </c>
      <c r="L67" t="e">
        <f>PROPER(VLOOKUP(Personel!A67,denem!A:AC,10,0))</f>
        <v>#N/A</v>
      </c>
      <c r="M67" t="e">
        <f>PROPER(VLOOKUP(Personel!A67,denem!A:AC,11,0))</f>
        <v>#N/A</v>
      </c>
      <c r="N67" s="6" t="e">
        <f>VLOOKUP(Personel!A67,denem!A:AC,12,0)</f>
        <v>#N/A</v>
      </c>
      <c r="O67" t="e">
        <f>PROPER(VLOOKUP(Personel!A67,denem!A:AC,13,0))</f>
        <v>#N/A</v>
      </c>
      <c r="X67" t="s">
        <v>31</v>
      </c>
      <c r="AC67" t="s">
        <v>32</v>
      </c>
    </row>
    <row r="68" spans="1:29" x14ac:dyDescent="0.25">
      <c r="A68" s="8">
        <v>54907073476</v>
      </c>
      <c r="B68" t="s">
        <v>100</v>
      </c>
      <c r="C68" s="7" t="e">
        <f>VLOOKUP(Personel!A68,denem!A:AC,8,0)</f>
        <v>#N/A</v>
      </c>
      <c r="D68" s="6" t="e">
        <f>VLOOKUP(Personel!A68,denem!A:AC,9,0)</f>
        <v>#N/A</v>
      </c>
      <c r="F68" t="s">
        <v>988</v>
      </c>
      <c r="H68" t="e">
        <v>#N/A</v>
      </c>
      <c r="I68" s="6" t="e">
        <v>#N/A</v>
      </c>
      <c r="K68" s="6" t="e">
        <v>#N/A</v>
      </c>
      <c r="L68" t="e">
        <f>PROPER(VLOOKUP(Personel!A68,denem!A:AC,10,0))</f>
        <v>#N/A</v>
      </c>
      <c r="M68" t="e">
        <f>PROPER(VLOOKUP(Personel!A68,denem!A:AC,11,0))</f>
        <v>#N/A</v>
      </c>
      <c r="N68" s="6" t="e">
        <f>VLOOKUP(Personel!A68,denem!A:AC,12,0)</f>
        <v>#N/A</v>
      </c>
      <c r="O68" t="e">
        <f>PROPER(VLOOKUP(Personel!A68,denem!A:AC,13,0))</f>
        <v>#N/A</v>
      </c>
      <c r="X68" t="s">
        <v>31</v>
      </c>
      <c r="AC68" t="s">
        <v>32</v>
      </c>
    </row>
    <row r="69" spans="1:29" x14ac:dyDescent="0.25">
      <c r="A69" s="8">
        <v>23609090784</v>
      </c>
      <c r="B69" t="s">
        <v>101</v>
      </c>
      <c r="C69" s="7" t="e">
        <f>VLOOKUP(Personel!A69,denem!A:AC,8,0)</f>
        <v>#N/A</v>
      </c>
      <c r="D69" s="6" t="e">
        <f>VLOOKUP(Personel!A69,denem!A:AC,9,0)</f>
        <v>#N/A</v>
      </c>
      <c r="F69" t="s">
        <v>998</v>
      </c>
      <c r="H69" t="e">
        <v>#N/A</v>
      </c>
      <c r="I69" s="6" t="e">
        <v>#N/A</v>
      </c>
      <c r="K69" s="6" t="e">
        <v>#N/A</v>
      </c>
      <c r="L69" t="e">
        <f>PROPER(VLOOKUP(Personel!A69,denem!A:AC,10,0))</f>
        <v>#N/A</v>
      </c>
      <c r="M69" t="e">
        <f>PROPER(VLOOKUP(Personel!A69,denem!A:AC,11,0))</f>
        <v>#N/A</v>
      </c>
      <c r="N69" s="6" t="e">
        <f>VLOOKUP(Personel!A69,denem!A:AC,12,0)</f>
        <v>#N/A</v>
      </c>
      <c r="O69" t="e">
        <f>PROPER(VLOOKUP(Personel!A69,denem!A:AC,13,0))</f>
        <v>#N/A</v>
      </c>
      <c r="X69" t="s">
        <v>31</v>
      </c>
      <c r="AC69" t="s">
        <v>32</v>
      </c>
    </row>
    <row r="70" spans="1:29" x14ac:dyDescent="0.25">
      <c r="A70" s="8">
        <v>10904460510</v>
      </c>
      <c r="B70" t="s">
        <v>102</v>
      </c>
      <c r="C70" s="7" t="e">
        <f>VLOOKUP(Personel!A70,denem!A:AC,8,0)</f>
        <v>#N/A</v>
      </c>
      <c r="D70" s="6" t="e">
        <f>VLOOKUP(Personel!A70,denem!A:AC,9,0)</f>
        <v>#N/A</v>
      </c>
      <c r="F70" t="s">
        <v>993</v>
      </c>
      <c r="H70" t="e">
        <v>#N/A</v>
      </c>
      <c r="I70" s="6" t="e">
        <v>#N/A</v>
      </c>
      <c r="K70" s="6" t="e">
        <v>#N/A</v>
      </c>
      <c r="L70" t="e">
        <f>PROPER(VLOOKUP(Personel!A70,denem!A:AC,10,0))</f>
        <v>#N/A</v>
      </c>
      <c r="M70" t="e">
        <f>PROPER(VLOOKUP(Personel!A70,denem!A:AC,11,0))</f>
        <v>#N/A</v>
      </c>
      <c r="N70" s="6" t="e">
        <f>VLOOKUP(Personel!A70,denem!A:AC,12,0)</f>
        <v>#N/A</v>
      </c>
      <c r="O70" t="e">
        <f>PROPER(VLOOKUP(Personel!A70,denem!A:AC,13,0))</f>
        <v>#N/A</v>
      </c>
      <c r="X70" t="s">
        <v>31</v>
      </c>
      <c r="AC70" t="s">
        <v>32</v>
      </c>
    </row>
    <row r="71" spans="1:29" x14ac:dyDescent="0.25">
      <c r="A71" s="8">
        <v>39511597594</v>
      </c>
      <c r="B71" t="s">
        <v>103</v>
      </c>
      <c r="C71" s="7" t="str">
        <f>VLOOKUP(Personel!A71,denem!A:AC,8,0)</f>
        <v>İstanbul</v>
      </c>
      <c r="D71" s="6">
        <f>VLOOKUP(Personel!A71,denem!A:AC,9,0)</f>
        <v>32987</v>
      </c>
      <c r="F71" t="s">
        <v>446</v>
      </c>
      <c r="H71" t="s">
        <v>892</v>
      </c>
      <c r="I71" s="6">
        <v>41562</v>
      </c>
      <c r="K71" s="6" t="s">
        <v>468</v>
      </c>
      <c r="L71" t="str">
        <f>PROPER(VLOOKUP(Personel!A71,denem!A:AC,10,0))</f>
        <v xml:space="preserve">Marmara Üniversitesi </v>
      </c>
      <c r="M71" t="str">
        <f>PROPER(VLOOKUP(Personel!A71,denem!A:AC,11,0))</f>
        <v>Sağ. Hiz. Mes. Yo Radyoloji Bölümü</v>
      </c>
      <c r="N71" s="6">
        <f>VLOOKUP(Personel!A71,denem!A:AC,12,0)</f>
        <v>41663</v>
      </c>
      <c r="O71" t="str">
        <f>PROPER(VLOOKUP(Personel!A71,denem!A:AC,13,0))</f>
        <v>2014A350509028</v>
      </c>
      <c r="X71" t="s">
        <v>31</v>
      </c>
      <c r="AC71" t="s">
        <v>32</v>
      </c>
    </row>
    <row r="72" spans="1:29" x14ac:dyDescent="0.25">
      <c r="A72" s="8">
        <v>13157251218</v>
      </c>
      <c r="B72" t="s">
        <v>104</v>
      </c>
      <c r="C72" s="7" t="e">
        <f>VLOOKUP(Personel!A72,denem!A:AC,8,0)</f>
        <v>#N/A</v>
      </c>
      <c r="D72" s="6" t="e">
        <f>VLOOKUP(Personel!A72,denem!A:AC,9,0)</f>
        <v>#N/A</v>
      </c>
      <c r="F72" t="s">
        <v>999</v>
      </c>
      <c r="H72" t="e">
        <v>#N/A</v>
      </c>
      <c r="I72" s="6" t="e">
        <v>#N/A</v>
      </c>
      <c r="K72" s="6" t="e">
        <v>#N/A</v>
      </c>
      <c r="L72" t="e">
        <f>PROPER(VLOOKUP(Personel!A72,denem!A:AC,10,0))</f>
        <v>#N/A</v>
      </c>
      <c r="M72" t="e">
        <f>PROPER(VLOOKUP(Personel!A72,denem!A:AC,11,0))</f>
        <v>#N/A</v>
      </c>
      <c r="N72" s="6" t="e">
        <f>VLOOKUP(Personel!A72,denem!A:AC,12,0)</f>
        <v>#N/A</v>
      </c>
      <c r="O72" t="e">
        <f>PROPER(VLOOKUP(Personel!A72,denem!A:AC,13,0))</f>
        <v>#N/A</v>
      </c>
      <c r="X72" t="s">
        <v>31</v>
      </c>
      <c r="AC72" t="s">
        <v>32</v>
      </c>
    </row>
    <row r="73" spans="1:29" x14ac:dyDescent="0.25">
      <c r="A73" s="8">
        <v>19093830272</v>
      </c>
      <c r="B73" t="s">
        <v>105</v>
      </c>
      <c r="C73" s="7" t="str">
        <f>VLOOKUP(Personel!A73,denem!A:AC,8,0)</f>
        <v>ERGANİ</v>
      </c>
      <c r="D73" s="6">
        <f>VLOOKUP(Personel!A73,denem!A:AC,9,0)</f>
        <v>36512</v>
      </c>
      <c r="F73" t="s">
        <v>995</v>
      </c>
      <c r="H73" t="s">
        <v>895</v>
      </c>
      <c r="I73" s="6">
        <v>44713</v>
      </c>
      <c r="K73" s="6" t="s">
        <v>476</v>
      </c>
      <c r="L73" t="str">
        <f>PROPER(VLOOKUP(Personel!A73,denem!A:AC,10,0))</f>
        <v>Bitlis Eren Üniversitesi</v>
      </c>
      <c r="M73" t="str">
        <f>PROPER(VLOOKUP(Personel!A73,denem!A:AC,11,0))</f>
        <v>Sağ. Hiz. Mes. Yo Tıbbi Görüntüleme Teknikeri</v>
      </c>
      <c r="N73" s="6">
        <f>VLOOKUP(Personel!A73,denem!A:AC,12,0)</f>
        <v>0</v>
      </c>
      <c r="O73" t="str">
        <f>PROPER(VLOOKUP(Personel!A73,denem!A:AC,13,0))</f>
        <v/>
      </c>
      <c r="X73" t="s">
        <v>31</v>
      </c>
      <c r="AC73" t="s">
        <v>32</v>
      </c>
    </row>
    <row r="74" spans="1:29" x14ac:dyDescent="0.25">
      <c r="A74" s="8">
        <v>21031245840</v>
      </c>
      <c r="B74" t="s">
        <v>106</v>
      </c>
      <c r="C74" s="7" t="e">
        <f>VLOOKUP(Personel!A74,denem!A:AC,8,0)</f>
        <v>#N/A</v>
      </c>
      <c r="D74" s="6" t="e">
        <f>VLOOKUP(Personel!A74,denem!A:AC,9,0)</f>
        <v>#N/A</v>
      </c>
      <c r="F74" t="s">
        <v>993</v>
      </c>
      <c r="H74" t="e">
        <v>#N/A</v>
      </c>
      <c r="I74" s="6" t="e">
        <v>#N/A</v>
      </c>
      <c r="K74" s="6" t="e">
        <v>#N/A</v>
      </c>
      <c r="L74" t="e">
        <f>PROPER(VLOOKUP(Personel!A74,denem!A:AC,10,0))</f>
        <v>#N/A</v>
      </c>
      <c r="M74" t="e">
        <f>PROPER(VLOOKUP(Personel!A74,denem!A:AC,11,0))</f>
        <v>#N/A</v>
      </c>
      <c r="N74" s="6" t="e">
        <f>VLOOKUP(Personel!A74,denem!A:AC,12,0)</f>
        <v>#N/A</v>
      </c>
      <c r="O74" t="e">
        <f>PROPER(VLOOKUP(Personel!A74,denem!A:AC,13,0))</f>
        <v>#N/A</v>
      </c>
      <c r="X74" t="s">
        <v>31</v>
      </c>
      <c r="AC74" t="s">
        <v>32</v>
      </c>
    </row>
    <row r="75" spans="1:29" x14ac:dyDescent="0.25">
      <c r="A75" s="8">
        <v>58003101996</v>
      </c>
      <c r="B75" t="s">
        <v>107</v>
      </c>
      <c r="C75" s="7" t="str">
        <f>VLOOKUP(Personel!A75,denem!A:AC,8,0)</f>
        <v>Kırşehir</v>
      </c>
      <c r="D75" s="6">
        <f>VLOOKUP(Personel!A75,denem!A:AC,9,0)</f>
        <v>34826</v>
      </c>
      <c r="F75" t="s">
        <v>303</v>
      </c>
      <c r="H75" t="e">
        <v>#N/A</v>
      </c>
      <c r="I75" s="6" t="e">
        <v>#N/A</v>
      </c>
      <c r="K75" s="6" t="s">
        <v>481</v>
      </c>
      <c r="L75" t="str">
        <f>PROPER(VLOOKUP(Personel!A75,denem!A:AC,10,0))</f>
        <v xml:space="preserve">İstanbul Üniversitesi </v>
      </c>
      <c r="M75" t="str">
        <f>PROPER(VLOOKUP(Personel!A75,denem!A:AC,11,0))</f>
        <v>İstanbul Tıp Fakültesi</v>
      </c>
      <c r="N75" s="6">
        <f>VLOOKUP(Personel!A75,denem!A:AC,12,0)</f>
        <v>44220</v>
      </c>
      <c r="O75" t="str">
        <f>PROPER(VLOOKUP(Personel!A75,denem!A:AC,13,0))</f>
        <v>32343/35811</v>
      </c>
      <c r="X75" t="s">
        <v>31</v>
      </c>
      <c r="AC75" t="s">
        <v>32</v>
      </c>
    </row>
    <row r="76" spans="1:29" x14ac:dyDescent="0.25">
      <c r="A76" s="8">
        <v>11369524472</v>
      </c>
      <c r="B76" t="s">
        <v>108</v>
      </c>
      <c r="C76" s="7" t="e">
        <f>VLOOKUP(Personel!A76,denem!A:AC,8,0)</f>
        <v>#N/A</v>
      </c>
      <c r="D76" s="6" t="e">
        <f>VLOOKUP(Personel!A76,denem!A:AC,9,0)</f>
        <v>#N/A</v>
      </c>
      <c r="F76" t="s">
        <v>993</v>
      </c>
      <c r="H76" t="e">
        <v>#N/A</v>
      </c>
      <c r="I76" s="6" t="e">
        <v>#N/A</v>
      </c>
      <c r="K76" s="6" t="e">
        <v>#N/A</v>
      </c>
      <c r="L76" t="e">
        <f>PROPER(VLOOKUP(Personel!A76,denem!A:AC,10,0))</f>
        <v>#N/A</v>
      </c>
      <c r="M76" t="e">
        <f>PROPER(VLOOKUP(Personel!A76,denem!A:AC,11,0))</f>
        <v>#N/A</v>
      </c>
      <c r="N76" s="6" t="e">
        <f>VLOOKUP(Personel!A76,denem!A:AC,12,0)</f>
        <v>#N/A</v>
      </c>
      <c r="O76" t="e">
        <f>PROPER(VLOOKUP(Personel!A76,denem!A:AC,13,0))</f>
        <v>#N/A</v>
      </c>
      <c r="X76" t="s">
        <v>31</v>
      </c>
      <c r="AC76" t="s">
        <v>32</v>
      </c>
    </row>
    <row r="77" spans="1:29" x14ac:dyDescent="0.25">
      <c r="A77" s="8">
        <v>48832538292</v>
      </c>
      <c r="B77" t="s">
        <v>109</v>
      </c>
      <c r="C77" s="7" t="e">
        <f>VLOOKUP(Personel!A77,denem!A:AC,8,0)</f>
        <v>#N/A</v>
      </c>
      <c r="D77" s="6" t="e">
        <f>VLOOKUP(Personel!A77,denem!A:AC,9,0)</f>
        <v>#N/A</v>
      </c>
      <c r="F77" t="s">
        <v>985</v>
      </c>
      <c r="H77" t="e">
        <v>#N/A</v>
      </c>
      <c r="I77" s="6" t="e">
        <v>#N/A</v>
      </c>
      <c r="K77" s="6" t="e">
        <v>#N/A</v>
      </c>
      <c r="L77" t="e">
        <f>PROPER(VLOOKUP(Personel!A77,denem!A:AC,10,0))</f>
        <v>#N/A</v>
      </c>
      <c r="M77" t="e">
        <f>PROPER(VLOOKUP(Personel!A77,denem!A:AC,11,0))</f>
        <v>#N/A</v>
      </c>
      <c r="N77" s="6" t="e">
        <f>VLOOKUP(Personel!A77,denem!A:AC,12,0)</f>
        <v>#N/A</v>
      </c>
      <c r="O77" t="e">
        <f>PROPER(VLOOKUP(Personel!A77,denem!A:AC,13,0))</f>
        <v>#N/A</v>
      </c>
      <c r="X77" t="s">
        <v>31</v>
      </c>
      <c r="AC77" t="s">
        <v>32</v>
      </c>
    </row>
    <row r="78" spans="1:29" x14ac:dyDescent="0.25">
      <c r="A78" s="8">
        <v>11113132182</v>
      </c>
      <c r="B78" t="s">
        <v>110</v>
      </c>
      <c r="C78" s="7" t="str">
        <f>VLOOKUP(Personel!A78,denem!A:AC,8,0)</f>
        <v>BEYPAZARI</v>
      </c>
      <c r="D78" s="6">
        <f>VLOOKUP(Personel!A78,denem!A:AC,9,0)</f>
        <v>25836</v>
      </c>
      <c r="F78" t="s">
        <v>235</v>
      </c>
      <c r="H78" t="s">
        <v>897</v>
      </c>
      <c r="I78" s="6">
        <v>36117</v>
      </c>
      <c r="K78" s="6" t="s">
        <v>486</v>
      </c>
      <c r="L78" t="str">
        <f>PROPER(VLOOKUP(Personel!A78,denem!A:AC,10,0))</f>
        <v xml:space="preserve">İstanbul Üniversitesi </v>
      </c>
      <c r="M78" t="str">
        <f>PROPER(VLOOKUP(Personel!A78,denem!A:AC,11,0))</f>
        <v>Cerrahpaşa Sağ. Hiz. Mes. Yo Radyoloji Bölümü</v>
      </c>
      <c r="N78" s="6">
        <f>VLOOKUP(Personel!A78,denem!A:AC,12,0)</f>
        <v>33239</v>
      </c>
      <c r="O78" t="str">
        <f>PROPER(VLOOKUP(Personel!A78,denem!A:AC,13,0))</f>
        <v>115</v>
      </c>
      <c r="X78" t="s">
        <v>31</v>
      </c>
      <c r="AC78" t="s">
        <v>32</v>
      </c>
    </row>
    <row r="79" spans="1:29" x14ac:dyDescent="0.25">
      <c r="A79" s="8">
        <v>31508322790</v>
      </c>
      <c r="B79" t="s">
        <v>111</v>
      </c>
      <c r="C79" s="7" t="e">
        <f>VLOOKUP(Personel!A79,denem!A:AC,8,0)</f>
        <v>#N/A</v>
      </c>
      <c r="D79" s="6" t="e">
        <f>VLOOKUP(Personel!A79,denem!A:AC,9,0)</f>
        <v>#N/A</v>
      </c>
      <c r="F79" t="s">
        <v>1000</v>
      </c>
      <c r="H79" t="e">
        <v>#N/A</v>
      </c>
      <c r="I79" s="6" t="e">
        <v>#N/A</v>
      </c>
      <c r="K79" s="6" t="e">
        <v>#N/A</v>
      </c>
      <c r="L79" t="e">
        <f>PROPER(VLOOKUP(Personel!A79,denem!A:AC,10,0))</f>
        <v>#N/A</v>
      </c>
      <c r="M79" t="e">
        <f>PROPER(VLOOKUP(Personel!A79,denem!A:AC,11,0))</f>
        <v>#N/A</v>
      </c>
      <c r="N79" s="6" t="e">
        <f>VLOOKUP(Personel!A79,denem!A:AC,12,0)</f>
        <v>#N/A</v>
      </c>
      <c r="O79" t="e">
        <f>PROPER(VLOOKUP(Personel!A79,denem!A:AC,13,0))</f>
        <v>#N/A</v>
      </c>
      <c r="X79" t="s">
        <v>31</v>
      </c>
      <c r="AC79" t="s">
        <v>32</v>
      </c>
    </row>
    <row r="80" spans="1:29" x14ac:dyDescent="0.25">
      <c r="A80" s="8">
        <v>12056674562</v>
      </c>
      <c r="B80" t="s">
        <v>112</v>
      </c>
      <c r="C80" s="7" t="str">
        <f>VLOOKUP(Personel!A80,denem!A:AC,8,0)</f>
        <v>Pazarcık</v>
      </c>
      <c r="D80" s="6">
        <f>VLOOKUP(Personel!A80,denem!A:AC,9,0)</f>
        <v>0</v>
      </c>
      <c r="F80" t="s">
        <v>235</v>
      </c>
      <c r="H80" t="s">
        <v>900</v>
      </c>
      <c r="I80" s="6">
        <v>40910</v>
      </c>
      <c r="K80" s="6" t="s">
        <v>490</v>
      </c>
      <c r="L80" t="str">
        <f>PROPER(VLOOKUP(Personel!A80,denem!A:AC,10,0))</f>
        <v>Selçuk Üniversitesi</v>
      </c>
      <c r="M80" t="str">
        <f>PROPER(VLOOKUP(Personel!A80,denem!A:AC,11,0))</f>
        <v>Sağ. Hiz. Mes. Yo Tıbbi Görüntüleme Teknikeri</v>
      </c>
      <c r="N80" s="6">
        <f>VLOOKUP(Personel!A80,denem!A:AC,12,0)</f>
        <v>39511</v>
      </c>
      <c r="O80" t="str">
        <f>PROPER(VLOOKUP(Personel!A80,denem!A:AC,13,0))</f>
        <v>867040003</v>
      </c>
      <c r="X80" t="s">
        <v>31</v>
      </c>
      <c r="AC80" t="s">
        <v>32</v>
      </c>
    </row>
    <row r="81" spans="1:29" x14ac:dyDescent="0.25">
      <c r="A81" s="8">
        <v>24637635220</v>
      </c>
      <c r="B81" t="s">
        <v>113</v>
      </c>
      <c r="C81" s="7" t="str">
        <f>VLOOKUP(Personel!A81,denem!A:AC,8,0)</f>
        <v>Tarsus</v>
      </c>
      <c r="D81" s="6">
        <f>VLOOKUP(Personel!A81,denem!A:AC,9,0)</f>
        <v>35295</v>
      </c>
      <c r="F81" t="s">
        <v>985</v>
      </c>
      <c r="H81" t="e">
        <v>#N/A</v>
      </c>
      <c r="I81" s="6" t="e">
        <v>#N/A</v>
      </c>
      <c r="K81" s="6" t="s">
        <v>494</v>
      </c>
      <c r="L81" t="str">
        <f>PROPER(VLOOKUP(Personel!A81,denem!A:AC,10,0))</f>
        <v xml:space="preserve">İstanbul Üniversitesi </v>
      </c>
      <c r="M81" t="str">
        <f>PROPER(VLOOKUP(Personel!A81,denem!A:AC,11,0))</f>
        <v xml:space="preserve">Cerrahpaşa Tıp Fakültesi </v>
      </c>
      <c r="N81" s="6">
        <f>VLOOKUP(Personel!A81,denem!A:AC,12,0)</f>
        <v>44400</v>
      </c>
      <c r="O81" t="str">
        <f>PROPER(VLOOKUP(Personel!A81,denem!A:AC,13,0))</f>
        <v>Dr243724</v>
      </c>
      <c r="X81" t="s">
        <v>31</v>
      </c>
      <c r="AC81" t="s">
        <v>32</v>
      </c>
    </row>
    <row r="82" spans="1:29" x14ac:dyDescent="0.25">
      <c r="A82" s="8">
        <v>29821659372</v>
      </c>
      <c r="B82" t="s">
        <v>114</v>
      </c>
      <c r="C82" s="7" t="e">
        <f>VLOOKUP(Personel!A82,denem!A:AC,8,0)</f>
        <v>#N/A</v>
      </c>
      <c r="D82" s="6" t="e">
        <f>VLOOKUP(Personel!A82,denem!A:AC,9,0)</f>
        <v>#N/A</v>
      </c>
      <c r="F82" t="s">
        <v>986</v>
      </c>
      <c r="H82" t="e">
        <v>#N/A</v>
      </c>
      <c r="I82" s="6" t="e">
        <v>#N/A</v>
      </c>
      <c r="K82" s="6" t="e">
        <v>#N/A</v>
      </c>
      <c r="L82" t="e">
        <f>PROPER(VLOOKUP(Personel!A82,denem!A:AC,10,0))</f>
        <v>#N/A</v>
      </c>
      <c r="M82" t="e">
        <f>PROPER(VLOOKUP(Personel!A82,denem!A:AC,11,0))</f>
        <v>#N/A</v>
      </c>
      <c r="N82" s="6" t="e">
        <f>VLOOKUP(Personel!A82,denem!A:AC,12,0)</f>
        <v>#N/A</v>
      </c>
      <c r="O82" t="e">
        <f>PROPER(VLOOKUP(Personel!A82,denem!A:AC,13,0))</f>
        <v>#N/A</v>
      </c>
      <c r="X82" t="s">
        <v>31</v>
      </c>
      <c r="AC82" t="s">
        <v>32</v>
      </c>
    </row>
    <row r="83" spans="1:29" x14ac:dyDescent="0.25">
      <c r="A83" s="8">
        <v>15095653802</v>
      </c>
      <c r="B83" t="s">
        <v>115</v>
      </c>
      <c r="C83" s="7">
        <f>VLOOKUP(Personel!A83,denem!A:AC,8,0)</f>
        <v>0</v>
      </c>
      <c r="D83" s="6">
        <f>VLOOKUP(Personel!A83,denem!A:AC,9,0)</f>
        <v>28739</v>
      </c>
      <c r="F83" t="s">
        <v>235</v>
      </c>
      <c r="H83" t="s">
        <v>902</v>
      </c>
      <c r="I83" s="6">
        <v>40739</v>
      </c>
      <c r="K83" s="6" t="s">
        <v>504</v>
      </c>
      <c r="L83" t="str">
        <f>PROPER(VLOOKUP(Personel!A83,denem!A:AC,10,0))</f>
        <v>İstanbul Üniversitesi</v>
      </c>
      <c r="M83" t="str">
        <f>PROPER(VLOOKUP(Personel!A83,denem!A:AC,11,0))</f>
        <v>Sağ. Hiz. Mes. Yo Radyoloji Bölümü</v>
      </c>
      <c r="N83" s="6">
        <f>VLOOKUP(Personel!A83,denem!A:AC,12,0)</f>
        <v>35692</v>
      </c>
      <c r="O83" t="str">
        <f>PROPER(VLOOKUP(Personel!A83,denem!A:AC,13,0))</f>
        <v>853</v>
      </c>
      <c r="X83" t="s">
        <v>31</v>
      </c>
      <c r="AC83" t="s">
        <v>32</v>
      </c>
    </row>
    <row r="84" spans="1:29" x14ac:dyDescent="0.25">
      <c r="A84" s="8">
        <v>12983078648</v>
      </c>
      <c r="B84" t="s">
        <v>116</v>
      </c>
      <c r="C84" s="7" t="e">
        <f>VLOOKUP(Personel!A84,denem!A:AC,8,0)</f>
        <v>#N/A</v>
      </c>
      <c r="D84" s="6" t="e">
        <f>VLOOKUP(Personel!A84,denem!A:AC,9,0)</f>
        <v>#N/A</v>
      </c>
      <c r="F84" t="s">
        <v>303</v>
      </c>
      <c r="H84" t="e">
        <v>#N/A</v>
      </c>
      <c r="I84" s="6" t="e">
        <v>#N/A</v>
      </c>
      <c r="K84" s="6" t="e">
        <v>#N/A</v>
      </c>
      <c r="L84" t="e">
        <f>PROPER(VLOOKUP(Personel!A84,denem!A:AC,10,0))</f>
        <v>#N/A</v>
      </c>
      <c r="M84" t="e">
        <f>PROPER(VLOOKUP(Personel!A84,denem!A:AC,11,0))</f>
        <v>#N/A</v>
      </c>
      <c r="N84" s="6" t="e">
        <f>VLOOKUP(Personel!A84,denem!A:AC,12,0)</f>
        <v>#N/A</v>
      </c>
      <c r="O84" t="e">
        <f>PROPER(VLOOKUP(Personel!A84,denem!A:AC,13,0))</f>
        <v>#N/A</v>
      </c>
      <c r="X84" t="s">
        <v>31</v>
      </c>
      <c r="AC84" t="s">
        <v>32</v>
      </c>
    </row>
    <row r="85" spans="1:29" x14ac:dyDescent="0.25">
      <c r="A85" s="8">
        <v>28712582386</v>
      </c>
      <c r="B85" t="s">
        <v>117</v>
      </c>
      <c r="C85" s="7" t="e">
        <f>VLOOKUP(Personel!A85,denem!A:AC,8,0)</f>
        <v>#N/A</v>
      </c>
      <c r="D85" s="6" t="e">
        <f>VLOOKUP(Personel!A85,denem!A:AC,9,0)</f>
        <v>#N/A</v>
      </c>
      <c r="F85" t="s">
        <v>993</v>
      </c>
      <c r="H85" t="e">
        <v>#N/A</v>
      </c>
      <c r="I85" s="6" t="e">
        <v>#N/A</v>
      </c>
      <c r="K85" s="6" t="e">
        <v>#N/A</v>
      </c>
      <c r="L85" t="e">
        <f>PROPER(VLOOKUP(Personel!A85,denem!A:AC,10,0))</f>
        <v>#N/A</v>
      </c>
      <c r="M85" t="e">
        <f>PROPER(VLOOKUP(Personel!A85,denem!A:AC,11,0))</f>
        <v>#N/A</v>
      </c>
      <c r="N85" s="6" t="e">
        <f>VLOOKUP(Personel!A85,denem!A:AC,12,0)</f>
        <v>#N/A</v>
      </c>
      <c r="O85" t="e">
        <f>PROPER(VLOOKUP(Personel!A85,denem!A:AC,13,0))</f>
        <v>#N/A</v>
      </c>
      <c r="X85" t="s">
        <v>31</v>
      </c>
      <c r="AC85" t="s">
        <v>32</v>
      </c>
    </row>
    <row r="86" spans="1:29" x14ac:dyDescent="0.25">
      <c r="A86" s="8">
        <v>35203682166</v>
      </c>
      <c r="B86" t="s">
        <v>118</v>
      </c>
      <c r="C86" s="7" t="e">
        <f>VLOOKUP(Personel!A86,denem!A:AC,8,0)</f>
        <v>#N/A</v>
      </c>
      <c r="D86" s="6" t="e">
        <f>VLOOKUP(Personel!A86,denem!A:AC,9,0)</f>
        <v>#N/A</v>
      </c>
      <c r="F86" t="s">
        <v>235</v>
      </c>
      <c r="H86" t="e">
        <v>#N/A</v>
      </c>
      <c r="I86" s="6" t="e">
        <v>#N/A</v>
      </c>
      <c r="K86" s="6" t="e">
        <v>#N/A</v>
      </c>
      <c r="L86" t="e">
        <f>PROPER(VLOOKUP(Personel!A86,denem!A:AC,10,0))</f>
        <v>#N/A</v>
      </c>
      <c r="M86" t="e">
        <f>PROPER(VLOOKUP(Personel!A86,denem!A:AC,11,0))</f>
        <v>#N/A</v>
      </c>
      <c r="N86" s="6" t="e">
        <f>VLOOKUP(Personel!A86,denem!A:AC,12,0)</f>
        <v>#N/A</v>
      </c>
      <c r="O86" t="e">
        <f>PROPER(VLOOKUP(Personel!A86,denem!A:AC,13,0))</f>
        <v>#N/A</v>
      </c>
      <c r="X86" t="s">
        <v>31</v>
      </c>
      <c r="AC86" t="s">
        <v>32</v>
      </c>
    </row>
    <row r="87" spans="1:29" x14ac:dyDescent="0.25">
      <c r="A87" s="8">
        <v>11828330422</v>
      </c>
      <c r="B87" t="s">
        <v>119</v>
      </c>
      <c r="C87" s="7" t="str">
        <f>VLOOKUP(Personel!A87,denem!A:AC,8,0)</f>
        <v>Düzce</v>
      </c>
      <c r="D87" s="6">
        <f>VLOOKUP(Personel!A87,denem!A:AC,9,0)</f>
        <v>26726</v>
      </c>
      <c r="F87" t="s">
        <v>344</v>
      </c>
      <c r="H87" t="s">
        <v>908</v>
      </c>
      <c r="I87" s="6">
        <v>34297</v>
      </c>
      <c r="K87" s="6" t="s">
        <v>514</v>
      </c>
      <c r="L87" t="str">
        <f>PROPER(VLOOKUP(Personel!A87,denem!A:AC,10,0))</f>
        <v>Bakırköy Sağlık Meslek Lisesi</v>
      </c>
      <c r="M87" t="str">
        <f>PROPER(VLOOKUP(Personel!A87,denem!A:AC,11,0))</f>
        <v>Radyoloji Bölümü</v>
      </c>
      <c r="N87" s="6">
        <f>VLOOKUP(Personel!A87,denem!A:AC,12,0)</f>
        <v>35796</v>
      </c>
      <c r="O87" t="str">
        <f>PROPER(VLOOKUP(Personel!A87,denem!A:AC,13,0))</f>
        <v/>
      </c>
      <c r="X87" t="s">
        <v>31</v>
      </c>
      <c r="AC87" t="s">
        <v>32</v>
      </c>
    </row>
    <row r="88" spans="1:29" x14ac:dyDescent="0.25">
      <c r="A88" s="8">
        <v>23369438840</v>
      </c>
      <c r="B88" t="s">
        <v>120</v>
      </c>
      <c r="C88" s="7" t="e">
        <f>VLOOKUP(Personel!A88,denem!A:AC,8,0)</f>
        <v>#N/A</v>
      </c>
      <c r="D88" s="6" t="e">
        <f>VLOOKUP(Personel!A88,denem!A:AC,9,0)</f>
        <v>#N/A</v>
      </c>
      <c r="F88" t="s">
        <v>993</v>
      </c>
      <c r="H88" t="e">
        <v>#N/A</v>
      </c>
      <c r="I88" s="6" t="e">
        <v>#N/A</v>
      </c>
      <c r="K88" s="6" t="e">
        <v>#N/A</v>
      </c>
      <c r="L88" t="e">
        <f>PROPER(VLOOKUP(Personel!A88,denem!A:AC,10,0))</f>
        <v>#N/A</v>
      </c>
      <c r="M88" t="e">
        <f>PROPER(VLOOKUP(Personel!A88,denem!A:AC,11,0))</f>
        <v>#N/A</v>
      </c>
      <c r="N88" s="6" t="e">
        <f>VLOOKUP(Personel!A88,denem!A:AC,12,0)</f>
        <v>#N/A</v>
      </c>
      <c r="O88" t="e">
        <f>PROPER(VLOOKUP(Personel!A88,denem!A:AC,13,0))</f>
        <v>#N/A</v>
      </c>
      <c r="X88" t="s">
        <v>31</v>
      </c>
      <c r="AC88" t="s">
        <v>32</v>
      </c>
    </row>
    <row r="89" spans="1:29" x14ac:dyDescent="0.25">
      <c r="A89" s="8">
        <v>47773688998</v>
      </c>
      <c r="B89" t="s">
        <v>121</v>
      </c>
      <c r="C89" s="7" t="e">
        <f>VLOOKUP(Personel!A89,denem!A:AC,8,0)</f>
        <v>#N/A</v>
      </c>
      <c r="D89" s="6" t="e">
        <f>VLOOKUP(Personel!A89,denem!A:AC,9,0)</f>
        <v>#N/A</v>
      </c>
      <c r="F89" t="s">
        <v>996</v>
      </c>
      <c r="H89" t="e">
        <v>#N/A</v>
      </c>
      <c r="I89" s="6" t="e">
        <v>#N/A</v>
      </c>
      <c r="K89" s="6" t="e">
        <v>#N/A</v>
      </c>
      <c r="L89" t="e">
        <f>PROPER(VLOOKUP(Personel!A89,denem!A:AC,10,0))</f>
        <v>#N/A</v>
      </c>
      <c r="M89" t="e">
        <f>PROPER(VLOOKUP(Personel!A89,denem!A:AC,11,0))</f>
        <v>#N/A</v>
      </c>
      <c r="N89" s="6" t="e">
        <f>VLOOKUP(Personel!A89,denem!A:AC,12,0)</f>
        <v>#N/A</v>
      </c>
      <c r="O89" t="e">
        <f>PROPER(VLOOKUP(Personel!A89,denem!A:AC,13,0))</f>
        <v>#N/A</v>
      </c>
      <c r="X89" t="s">
        <v>31</v>
      </c>
      <c r="AC89" t="s">
        <v>32</v>
      </c>
    </row>
    <row r="90" spans="1:29" x14ac:dyDescent="0.25">
      <c r="A90" s="8">
        <v>15311539446</v>
      </c>
      <c r="B90" t="s">
        <v>122</v>
      </c>
      <c r="C90" s="7" t="str">
        <f>VLOOKUP(Personel!A90,denem!A:AC,8,0)</f>
        <v>Karamürsel</v>
      </c>
      <c r="D90" s="6">
        <f>VLOOKUP(Personel!A90,denem!A:AC,9,0)</f>
        <v>28834</v>
      </c>
      <c r="F90" t="s">
        <v>235</v>
      </c>
      <c r="H90" t="s">
        <v>915</v>
      </c>
      <c r="I90" s="6">
        <v>36143</v>
      </c>
      <c r="K90" s="6" t="s">
        <v>522</v>
      </c>
      <c r="L90" t="str">
        <f>PROPER(VLOOKUP(Personel!A90,denem!A:AC,10,0))</f>
        <v xml:space="preserve">İstanbul Üniversitesi </v>
      </c>
      <c r="M90" t="str">
        <f>PROPER(VLOOKUP(Personel!A90,denem!A:AC,11,0))</f>
        <v>Cerrahpaşa Sağ. Hiz. Mes. Yo Radyoloji Bölümü</v>
      </c>
      <c r="N90" s="6">
        <f>VLOOKUP(Personel!A90,denem!A:AC,12,0)</f>
        <v>35944</v>
      </c>
      <c r="O90" t="str">
        <f>PROPER(VLOOKUP(Personel!A90,denem!A:AC,13,0))</f>
        <v>421</v>
      </c>
      <c r="X90" t="s">
        <v>31</v>
      </c>
      <c r="AC90" t="s">
        <v>32</v>
      </c>
    </row>
    <row r="91" spans="1:29" x14ac:dyDescent="0.25">
      <c r="A91" s="8">
        <v>22121568030</v>
      </c>
      <c r="B91" t="s">
        <v>123</v>
      </c>
      <c r="C91" s="7" t="str">
        <f>VLOOKUP(Personel!A91,denem!A:AC,8,0)</f>
        <v>Kocaali</v>
      </c>
      <c r="D91" s="6">
        <f>VLOOKUP(Personel!A91,denem!A:AC,9,0)</f>
        <v>32806</v>
      </c>
      <c r="F91" t="s">
        <v>446</v>
      </c>
      <c r="H91" t="s">
        <v>917</v>
      </c>
      <c r="I91" s="6">
        <v>41562</v>
      </c>
      <c r="K91" s="6" t="s">
        <v>527</v>
      </c>
      <c r="L91" t="str">
        <f>PROPER(VLOOKUP(Personel!A91,denem!A:AC,10,0))</f>
        <v>Şişli Saglık Meslek Lisesi</v>
      </c>
      <c r="M91" t="str">
        <f>PROPER(VLOOKUP(Personel!A91,denem!A:AC,11,0))</f>
        <v>Sağ. Hiz. Mes. Yo Radyoloji Bölümü</v>
      </c>
      <c r="N91" s="6">
        <f>VLOOKUP(Personel!A91,denem!A:AC,12,0)</f>
        <v>39612</v>
      </c>
      <c r="O91" t="str">
        <f>PROPER(VLOOKUP(Personel!A91,denem!A:AC,13,0))</f>
        <v>78</v>
      </c>
      <c r="X91" t="s">
        <v>31</v>
      </c>
      <c r="AC91" t="s">
        <v>32</v>
      </c>
    </row>
    <row r="92" spans="1:29" x14ac:dyDescent="0.25">
      <c r="A92" s="8">
        <v>40522140952</v>
      </c>
      <c r="B92" t="s">
        <v>124</v>
      </c>
      <c r="C92" s="7" t="str">
        <f>VLOOKUP(Personel!A92,denem!A:AC,8,0)</f>
        <v>Osmangazi</v>
      </c>
      <c r="D92" s="6">
        <f>VLOOKUP(Personel!A92,denem!A:AC,9,0)</f>
        <v>35255</v>
      </c>
      <c r="F92" t="s">
        <v>303</v>
      </c>
      <c r="H92" t="e">
        <v>#N/A</v>
      </c>
      <c r="I92" s="6" t="e">
        <v>#N/A</v>
      </c>
      <c r="K92" s="6" t="s">
        <v>531</v>
      </c>
      <c r="L92" t="str">
        <f>PROPER(VLOOKUP(Personel!A92,denem!A:AC,10,0))</f>
        <v>İ.Ü Cerrahpaşa Tıp Fakültesi</v>
      </c>
      <c r="M92" t="str">
        <f>PROPER(VLOOKUP(Personel!A92,denem!A:AC,11,0))</f>
        <v xml:space="preserve">Cerrahpaşa Tıp Fakültesi </v>
      </c>
      <c r="N92" s="6">
        <f>VLOOKUP(Personel!A92,denem!A:AC,12,0)</f>
        <v>44075</v>
      </c>
      <c r="O92" t="str">
        <f>PROPER(VLOOKUP(Personel!A92,denem!A:AC,13,0))</f>
        <v>15951</v>
      </c>
      <c r="X92" t="s">
        <v>31</v>
      </c>
      <c r="AC92" t="s">
        <v>32</v>
      </c>
    </row>
    <row r="93" spans="1:29" x14ac:dyDescent="0.25">
      <c r="A93" s="8">
        <v>10284016888</v>
      </c>
      <c r="B93" t="s">
        <v>125</v>
      </c>
      <c r="C93" s="7" t="str">
        <f>VLOOKUP(Personel!A93,denem!A:AC,8,0)</f>
        <v>İstanbul</v>
      </c>
      <c r="D93" s="6">
        <f>VLOOKUP(Personel!A93,denem!A:AC,9,0)</f>
        <v>35648</v>
      </c>
      <c r="F93" t="s">
        <v>235</v>
      </c>
      <c r="H93" t="s">
        <v>919</v>
      </c>
      <c r="I93" s="6">
        <v>44866</v>
      </c>
      <c r="K93" s="6" t="s">
        <v>535</v>
      </c>
      <c r="L93" t="str">
        <f>PROPER(VLOOKUP(Personel!A93,denem!A:AC,10,0))</f>
        <v>Acıbadem Üniversitesi</v>
      </c>
      <c r="M93" t="str">
        <f>PROPER(VLOOKUP(Personel!A93,denem!A:AC,11,0))</f>
        <v>Sağ. Hiz. Mes. Yo Tıbbi Görüntüleme Teknikeri</v>
      </c>
      <c r="N93" s="6">
        <f>VLOOKUP(Personel!A93,denem!A:AC,12,0)</f>
        <v>43251</v>
      </c>
      <c r="O93" t="str">
        <f>PROPER(VLOOKUP(Personel!A93,denem!A:AC,13,0))</f>
        <v>20170727007</v>
      </c>
      <c r="X93" t="s">
        <v>31</v>
      </c>
      <c r="AC93" t="s">
        <v>32</v>
      </c>
    </row>
    <row r="94" spans="1:29" x14ac:dyDescent="0.25">
      <c r="A94" s="8">
        <v>52225546382</v>
      </c>
      <c r="B94" t="s">
        <v>126</v>
      </c>
      <c r="C94" s="7" t="e">
        <f>VLOOKUP(Personel!A94,denem!A:AC,8,0)</f>
        <v>#N/A</v>
      </c>
      <c r="D94" s="6" t="e">
        <f>VLOOKUP(Personel!A94,denem!A:AC,9,0)</f>
        <v>#N/A</v>
      </c>
      <c r="F94" t="s">
        <v>985</v>
      </c>
      <c r="H94" t="e">
        <v>#N/A</v>
      </c>
      <c r="I94" s="6" t="e">
        <v>#N/A</v>
      </c>
      <c r="K94" s="6" t="e">
        <v>#N/A</v>
      </c>
      <c r="L94" t="e">
        <f>PROPER(VLOOKUP(Personel!A94,denem!A:AC,10,0))</f>
        <v>#N/A</v>
      </c>
      <c r="M94" t="e">
        <f>PROPER(VLOOKUP(Personel!A94,denem!A:AC,11,0))</f>
        <v>#N/A</v>
      </c>
      <c r="N94" s="6" t="e">
        <f>VLOOKUP(Personel!A94,denem!A:AC,12,0)</f>
        <v>#N/A</v>
      </c>
      <c r="O94" t="e">
        <f>PROPER(VLOOKUP(Personel!A94,denem!A:AC,13,0))</f>
        <v>#N/A</v>
      </c>
      <c r="X94" t="s">
        <v>31</v>
      </c>
      <c r="AC94" t="s">
        <v>32</v>
      </c>
    </row>
    <row r="95" spans="1:29" x14ac:dyDescent="0.25">
      <c r="A95" s="8">
        <v>11387331502</v>
      </c>
      <c r="B95" t="s">
        <v>127</v>
      </c>
      <c r="C95" s="7" t="str">
        <f>VLOOKUP(Personel!A95,denem!A:AC,8,0)</f>
        <v>ANTAKYA</v>
      </c>
      <c r="D95" s="6">
        <f>VLOOKUP(Personel!A95,denem!A:AC,9,0)</f>
        <v>30748</v>
      </c>
      <c r="F95" t="s">
        <v>1001</v>
      </c>
      <c r="H95" t="e">
        <v>#N/A</v>
      </c>
      <c r="I95" s="6" t="e">
        <v>#N/A</v>
      </c>
      <c r="K95" s="6" t="s">
        <v>539</v>
      </c>
      <c r="L95" t="str">
        <f>PROPER(VLOOKUP(Personel!A95,denem!A:AC,10,0))</f>
        <v>Cerrahpaşa Tıp Fakültesi</v>
      </c>
      <c r="M95" t="str">
        <f>PROPER(VLOOKUP(Personel!A95,denem!A:AC,11,0))</f>
        <v xml:space="preserve">Cerrahpaşa Tıp Fakültesi </v>
      </c>
      <c r="N95" s="6">
        <f>VLOOKUP(Personel!A95,denem!A:AC,12,0)</f>
        <v>40020</v>
      </c>
      <c r="O95" t="str">
        <f>PROPER(VLOOKUP(Personel!A95,denem!A:AC,13,0))</f>
        <v>12376</v>
      </c>
      <c r="X95" t="s">
        <v>31</v>
      </c>
      <c r="AC95" t="s">
        <v>32</v>
      </c>
    </row>
    <row r="96" spans="1:29" x14ac:dyDescent="0.25">
      <c r="A96" s="8">
        <v>19640207694</v>
      </c>
      <c r="B96" t="s">
        <v>128</v>
      </c>
      <c r="C96" s="7" t="str">
        <f>VLOOKUP(Personel!A96,denem!A:AC,8,0)</f>
        <v>İstanbul</v>
      </c>
      <c r="D96" s="6">
        <f>VLOOKUP(Personel!A96,denem!A:AC,9,0)</f>
        <v>26458</v>
      </c>
      <c r="F96" t="s">
        <v>235</v>
      </c>
      <c r="H96" t="s">
        <v>923</v>
      </c>
      <c r="I96" s="6">
        <v>41593</v>
      </c>
      <c r="K96" s="6" t="s">
        <v>551</v>
      </c>
      <c r="L96" t="str">
        <f>PROPER(VLOOKUP(Personel!A96,denem!A:AC,10,0))</f>
        <v xml:space="preserve">İstanbul Üniversitesi </v>
      </c>
      <c r="M96" t="str">
        <f>PROPER(VLOOKUP(Personel!A96,denem!A:AC,11,0))</f>
        <v>Sağ. Hiz. Mes. Yo Radyoloji Bölümü</v>
      </c>
      <c r="N96" s="6">
        <f>VLOOKUP(Personel!A96,denem!A:AC,12,0)</f>
        <v>36917</v>
      </c>
      <c r="O96" t="str">
        <f>PROPER(VLOOKUP(Personel!A96,denem!A:AC,13,0))</f>
        <v/>
      </c>
      <c r="X96" t="s">
        <v>31</v>
      </c>
      <c r="AC96" t="s">
        <v>32</v>
      </c>
    </row>
    <row r="97" spans="1:29" x14ac:dyDescent="0.25">
      <c r="A97" s="8">
        <v>16019689662</v>
      </c>
      <c r="B97" t="s">
        <v>129</v>
      </c>
      <c r="C97" s="7" t="e">
        <f>VLOOKUP(Personel!A97,denem!A:AC,8,0)</f>
        <v>#N/A</v>
      </c>
      <c r="D97" s="6" t="e">
        <f>VLOOKUP(Personel!A97,denem!A:AC,9,0)</f>
        <v>#N/A</v>
      </c>
      <c r="F97" t="s">
        <v>303</v>
      </c>
      <c r="H97" t="e">
        <v>#N/A</v>
      </c>
      <c r="I97" s="6" t="e">
        <v>#N/A</v>
      </c>
      <c r="K97" s="6" t="e">
        <v>#N/A</v>
      </c>
      <c r="L97" t="e">
        <f>PROPER(VLOOKUP(Personel!A97,denem!A:AC,10,0))</f>
        <v>#N/A</v>
      </c>
      <c r="M97" t="e">
        <f>PROPER(VLOOKUP(Personel!A97,denem!A:AC,11,0))</f>
        <v>#N/A</v>
      </c>
      <c r="N97" s="6" t="e">
        <f>VLOOKUP(Personel!A97,denem!A:AC,12,0)</f>
        <v>#N/A</v>
      </c>
      <c r="O97" t="e">
        <f>PROPER(VLOOKUP(Personel!A97,denem!A:AC,13,0))</f>
        <v>#N/A</v>
      </c>
      <c r="X97" t="s">
        <v>31</v>
      </c>
      <c r="AC97" t="s">
        <v>32</v>
      </c>
    </row>
    <row r="98" spans="1:29" x14ac:dyDescent="0.25">
      <c r="A98" s="8">
        <v>50233001510</v>
      </c>
      <c r="B98" t="s">
        <v>130</v>
      </c>
      <c r="C98" s="7" t="e">
        <f>VLOOKUP(Personel!A98,denem!A:AC,8,0)</f>
        <v>#N/A</v>
      </c>
      <c r="D98" s="6" t="e">
        <f>VLOOKUP(Personel!A98,denem!A:AC,9,0)</f>
        <v>#N/A</v>
      </c>
      <c r="F98" t="s">
        <v>1002</v>
      </c>
      <c r="H98" t="e">
        <v>#N/A</v>
      </c>
      <c r="I98" s="6" t="e">
        <v>#N/A</v>
      </c>
      <c r="K98" s="6" t="e">
        <v>#N/A</v>
      </c>
      <c r="L98" t="e">
        <f>PROPER(VLOOKUP(Personel!A98,denem!A:AC,10,0))</f>
        <v>#N/A</v>
      </c>
      <c r="M98" t="e">
        <f>PROPER(VLOOKUP(Personel!A98,denem!A:AC,11,0))</f>
        <v>#N/A</v>
      </c>
      <c r="N98" s="6" t="e">
        <f>VLOOKUP(Personel!A98,denem!A:AC,12,0)</f>
        <v>#N/A</v>
      </c>
      <c r="O98" t="e">
        <f>PROPER(VLOOKUP(Personel!A98,denem!A:AC,13,0))</f>
        <v>#N/A</v>
      </c>
      <c r="X98" t="s">
        <v>31</v>
      </c>
      <c r="AC98" t="s">
        <v>32</v>
      </c>
    </row>
    <row r="99" spans="1:29" x14ac:dyDescent="0.25">
      <c r="A99" s="8">
        <v>14993965512</v>
      </c>
      <c r="B99" t="s">
        <v>131</v>
      </c>
      <c r="C99" s="7" t="e">
        <f>VLOOKUP(Personel!A99,denem!A:AC,8,0)</f>
        <v>#N/A</v>
      </c>
      <c r="D99" s="6" t="e">
        <f>VLOOKUP(Personel!A99,denem!A:AC,9,0)</f>
        <v>#N/A</v>
      </c>
      <c r="F99" t="s">
        <v>993</v>
      </c>
      <c r="H99" t="e">
        <v>#N/A</v>
      </c>
      <c r="I99" s="6" t="e">
        <v>#N/A</v>
      </c>
      <c r="K99" s="6" t="e">
        <v>#N/A</v>
      </c>
      <c r="L99" t="e">
        <f>PROPER(VLOOKUP(Personel!A99,denem!A:AC,10,0))</f>
        <v>#N/A</v>
      </c>
      <c r="M99" t="e">
        <f>PROPER(VLOOKUP(Personel!A99,denem!A:AC,11,0))</f>
        <v>#N/A</v>
      </c>
      <c r="N99" s="6" t="e">
        <f>VLOOKUP(Personel!A99,denem!A:AC,12,0)</f>
        <v>#N/A</v>
      </c>
      <c r="O99" t="e">
        <f>PROPER(VLOOKUP(Personel!A99,denem!A:AC,13,0))</f>
        <v>#N/A</v>
      </c>
      <c r="X99" t="s">
        <v>31</v>
      </c>
      <c r="AC99" t="s">
        <v>32</v>
      </c>
    </row>
    <row r="100" spans="1:29" x14ac:dyDescent="0.25">
      <c r="A100" s="8">
        <v>19091230050</v>
      </c>
      <c r="B100" t="s">
        <v>132</v>
      </c>
      <c r="C100" s="7" t="str">
        <f>VLOOKUP(Personel!A100,denem!A:AC,8,0)</f>
        <v>İstanbul</v>
      </c>
      <c r="D100" s="6">
        <f>VLOOKUP(Personel!A100,denem!A:AC,9,0)</f>
        <v>29653</v>
      </c>
      <c r="F100" t="s">
        <v>235</v>
      </c>
      <c r="H100" t="s">
        <v>925</v>
      </c>
      <c r="I100" s="6">
        <v>41001</v>
      </c>
      <c r="K100" s="6" t="s">
        <v>561</v>
      </c>
      <c r="L100" t="str">
        <f>PROPER(VLOOKUP(Personel!A100,denem!A:AC,10,0))</f>
        <v xml:space="preserve">Kadir Has Üniversitesi </v>
      </c>
      <c r="M100" t="str">
        <f>PROPER(VLOOKUP(Personel!A100,denem!A:AC,11,0))</f>
        <v>Sağ. Hiz. Mes. Yo Tıbbi Görüntüleme Teknikeri</v>
      </c>
      <c r="N100" s="6">
        <f>VLOOKUP(Personel!A100,denem!A:AC,12,0)</f>
        <v>37785</v>
      </c>
      <c r="O100" t="str">
        <f>PROPER(VLOOKUP(Personel!A100,denem!A:AC,13,0))</f>
        <v>138</v>
      </c>
      <c r="X100" t="s">
        <v>31</v>
      </c>
      <c r="AC100" t="s">
        <v>32</v>
      </c>
    </row>
    <row r="101" spans="1:29" x14ac:dyDescent="0.25">
      <c r="A101" s="8">
        <v>37921103466</v>
      </c>
      <c r="B101" t="s">
        <v>133</v>
      </c>
      <c r="C101" s="7" t="str">
        <f>VLOOKUP(Personel!A101,denem!A:AC,8,0)</f>
        <v>Ankara</v>
      </c>
      <c r="D101" s="6">
        <f>VLOOKUP(Personel!A101,denem!A:AC,9,0)</f>
        <v>32691</v>
      </c>
      <c r="F101" t="s">
        <v>235</v>
      </c>
      <c r="H101" t="e">
        <v>#N/A</v>
      </c>
      <c r="I101" s="6" t="e">
        <v>#N/A</v>
      </c>
      <c r="K101" s="6" t="s">
        <v>565</v>
      </c>
      <c r="L101" t="str">
        <f>PROPER(VLOOKUP(Personel!A101,denem!A:AC,10,0))</f>
        <v>Başkent Üniversitesi</v>
      </c>
      <c r="M101" t="str">
        <f>PROPER(VLOOKUP(Personel!A101,denem!A:AC,11,0))</f>
        <v>Adana Sağ. Hiz. Mes. Yo</v>
      </c>
      <c r="N101" s="6">
        <f>VLOOKUP(Personel!A101,denem!A:AC,12,0)</f>
        <v>40354</v>
      </c>
      <c r="O101" t="str">
        <f>PROPER(VLOOKUP(Personel!A101,denem!A:AC,13,0))</f>
        <v>2105441556</v>
      </c>
      <c r="X101" t="s">
        <v>31</v>
      </c>
      <c r="AC101" t="s">
        <v>32</v>
      </c>
    </row>
    <row r="102" spans="1:29" x14ac:dyDescent="0.25">
      <c r="A102" s="8">
        <v>33535764826</v>
      </c>
      <c r="B102" t="s">
        <v>134</v>
      </c>
      <c r="C102" s="7" t="e">
        <f>VLOOKUP(Personel!A102,denem!A:AC,8,0)</f>
        <v>#N/A</v>
      </c>
      <c r="D102" s="6" t="e">
        <f>VLOOKUP(Personel!A102,denem!A:AC,9,0)</f>
        <v>#N/A</v>
      </c>
      <c r="F102" t="s">
        <v>1003</v>
      </c>
      <c r="H102" t="e">
        <v>#N/A</v>
      </c>
      <c r="I102" s="6" t="e">
        <v>#N/A</v>
      </c>
      <c r="K102" s="6" t="e">
        <v>#N/A</v>
      </c>
      <c r="L102" t="e">
        <f>PROPER(VLOOKUP(Personel!A102,denem!A:AC,10,0))</f>
        <v>#N/A</v>
      </c>
      <c r="M102" t="e">
        <f>PROPER(VLOOKUP(Personel!A102,denem!A:AC,11,0))</f>
        <v>#N/A</v>
      </c>
      <c r="N102" s="6" t="e">
        <f>VLOOKUP(Personel!A102,denem!A:AC,12,0)</f>
        <v>#N/A</v>
      </c>
      <c r="O102" t="e">
        <f>PROPER(VLOOKUP(Personel!A102,denem!A:AC,13,0))</f>
        <v>#N/A</v>
      </c>
      <c r="X102" t="s">
        <v>31</v>
      </c>
      <c r="AC102" t="s">
        <v>32</v>
      </c>
    </row>
    <row r="103" spans="1:29" x14ac:dyDescent="0.25">
      <c r="A103" s="8">
        <v>30721987816</v>
      </c>
      <c r="B103" t="s">
        <v>135</v>
      </c>
      <c r="C103" s="7" t="str">
        <f>VLOOKUP(Personel!A103,denem!A:AC,8,0)</f>
        <v>Kayseri</v>
      </c>
      <c r="D103" s="6">
        <f>VLOOKUP(Personel!A103,denem!A:AC,9,0)</f>
        <v>27870</v>
      </c>
      <c r="F103" t="s">
        <v>314</v>
      </c>
      <c r="H103" t="e">
        <v>#N/A</v>
      </c>
      <c r="I103" s="6" t="e">
        <v>#N/A</v>
      </c>
      <c r="K103" s="6" t="s">
        <v>568</v>
      </c>
      <c r="L103" t="str">
        <f>PROPER(VLOOKUP(Personel!A103,denem!A:AC,10,0))</f>
        <v xml:space="preserve">İstanbul Üniversitesi </v>
      </c>
      <c r="M103" t="str">
        <f>PROPER(VLOOKUP(Personel!A103,denem!A:AC,11,0))</f>
        <v>Tıp Fakültesi</v>
      </c>
      <c r="N103" s="6">
        <f>VLOOKUP(Personel!A103,denem!A:AC,12,0)</f>
        <v>36455</v>
      </c>
      <c r="O103" t="str">
        <f>PROPER(VLOOKUP(Personel!A103,denem!A:AC,13,0))</f>
        <v>24294/27262</v>
      </c>
      <c r="X103" t="s">
        <v>31</v>
      </c>
      <c r="AC103" t="s">
        <v>32</v>
      </c>
    </row>
    <row r="104" spans="1:29" x14ac:dyDescent="0.25">
      <c r="A104" s="8">
        <v>24464088152</v>
      </c>
      <c r="B104" t="s">
        <v>136</v>
      </c>
      <c r="C104" s="7" t="e">
        <f>VLOOKUP(Personel!A104,denem!A:AC,8,0)</f>
        <v>#N/A</v>
      </c>
      <c r="D104" s="6" t="e">
        <f>VLOOKUP(Personel!A104,denem!A:AC,9,0)</f>
        <v>#N/A</v>
      </c>
      <c r="F104" t="s">
        <v>985</v>
      </c>
      <c r="H104" t="e">
        <v>#N/A</v>
      </c>
      <c r="I104" s="6" t="e">
        <v>#N/A</v>
      </c>
      <c r="K104" s="6" t="e">
        <v>#N/A</v>
      </c>
      <c r="L104" t="e">
        <f>PROPER(VLOOKUP(Personel!A104,denem!A:AC,10,0))</f>
        <v>#N/A</v>
      </c>
      <c r="M104" t="e">
        <f>PROPER(VLOOKUP(Personel!A104,denem!A:AC,11,0))</f>
        <v>#N/A</v>
      </c>
      <c r="N104" s="6" t="e">
        <f>VLOOKUP(Personel!A104,denem!A:AC,12,0)</f>
        <v>#N/A</v>
      </c>
      <c r="O104" t="e">
        <f>PROPER(VLOOKUP(Personel!A104,denem!A:AC,13,0))</f>
        <v>#N/A</v>
      </c>
      <c r="X104" t="s">
        <v>31</v>
      </c>
      <c r="AC104" t="s">
        <v>32</v>
      </c>
    </row>
    <row r="105" spans="1:29" x14ac:dyDescent="0.25">
      <c r="A105" s="8">
        <v>13748460722</v>
      </c>
      <c r="B105" t="s">
        <v>137</v>
      </c>
      <c r="C105" s="7" t="str">
        <f>VLOOKUP(Personel!A105,denem!A:AC,8,0)</f>
        <v>Istanbul</v>
      </c>
      <c r="D105" s="6">
        <f>VLOOKUP(Personel!A105,denem!A:AC,9,0)</f>
        <v>29294</v>
      </c>
      <c r="F105" t="s">
        <v>314</v>
      </c>
      <c r="H105" t="e">
        <v>#N/A</v>
      </c>
      <c r="I105" s="6" t="e">
        <v>#N/A</v>
      </c>
      <c r="K105" s="6" t="s">
        <v>572</v>
      </c>
      <c r="L105" t="str">
        <f>PROPER(VLOOKUP(Personel!A105,denem!A:AC,10,0))</f>
        <v>Hacettepe Universitesi</v>
      </c>
      <c r="M105" t="str">
        <f>PROPER(VLOOKUP(Personel!A105,denem!A:AC,11,0))</f>
        <v>Tıp Fakültesi</v>
      </c>
      <c r="N105" s="6">
        <f>VLOOKUP(Personel!A105,denem!A:AC,12,0)</f>
        <v>38168</v>
      </c>
      <c r="O105" t="str">
        <f>PROPER(VLOOKUP(Personel!A105,denem!A:AC,13,0))</f>
        <v>118867</v>
      </c>
      <c r="X105" t="s">
        <v>31</v>
      </c>
      <c r="AC105" t="s">
        <v>32</v>
      </c>
    </row>
    <row r="106" spans="1:29" x14ac:dyDescent="0.25">
      <c r="A106" s="8">
        <v>71848153692</v>
      </c>
      <c r="B106" t="s">
        <v>138</v>
      </c>
      <c r="C106" s="7" t="e">
        <f>VLOOKUP(Personel!A106,denem!A:AC,8,0)</f>
        <v>#N/A</v>
      </c>
      <c r="D106" s="6" t="e">
        <f>VLOOKUP(Personel!A106,denem!A:AC,9,0)</f>
        <v>#N/A</v>
      </c>
      <c r="F106" t="s">
        <v>993</v>
      </c>
      <c r="H106" t="e">
        <v>#N/A</v>
      </c>
      <c r="I106" s="6" t="e">
        <v>#N/A</v>
      </c>
      <c r="K106" s="6" t="e">
        <v>#N/A</v>
      </c>
      <c r="L106" t="e">
        <f>PROPER(VLOOKUP(Personel!A106,denem!A:AC,10,0))</f>
        <v>#N/A</v>
      </c>
      <c r="M106" t="e">
        <f>PROPER(VLOOKUP(Personel!A106,denem!A:AC,11,0))</f>
        <v>#N/A</v>
      </c>
      <c r="N106" s="6" t="e">
        <f>VLOOKUP(Personel!A106,denem!A:AC,12,0)</f>
        <v>#N/A</v>
      </c>
      <c r="O106" t="e">
        <f>PROPER(VLOOKUP(Personel!A106,denem!A:AC,13,0))</f>
        <v>#N/A</v>
      </c>
      <c r="X106" t="s">
        <v>31</v>
      </c>
      <c r="AC106" t="s">
        <v>32</v>
      </c>
    </row>
    <row r="107" spans="1:29" x14ac:dyDescent="0.25">
      <c r="A107" s="8">
        <v>21287593344</v>
      </c>
      <c r="B107" t="s">
        <v>139</v>
      </c>
      <c r="C107" s="7" t="e">
        <f>VLOOKUP(Personel!A107,denem!A:AC,8,0)</f>
        <v>#N/A</v>
      </c>
      <c r="D107" s="6" t="e">
        <f>VLOOKUP(Personel!A107,denem!A:AC,9,0)</f>
        <v>#N/A</v>
      </c>
      <c r="F107" t="s">
        <v>235</v>
      </c>
      <c r="H107" t="e">
        <v>#N/A</v>
      </c>
      <c r="I107" s="6" t="e">
        <v>#N/A</v>
      </c>
      <c r="K107" s="6" t="e">
        <v>#N/A</v>
      </c>
      <c r="L107" t="e">
        <f>PROPER(VLOOKUP(Personel!A107,denem!A:AC,10,0))</f>
        <v>#N/A</v>
      </c>
      <c r="M107" t="e">
        <f>PROPER(VLOOKUP(Personel!A107,denem!A:AC,11,0))</f>
        <v>#N/A</v>
      </c>
      <c r="N107" s="6" t="e">
        <f>VLOOKUP(Personel!A107,denem!A:AC,12,0)</f>
        <v>#N/A</v>
      </c>
      <c r="O107" t="e">
        <f>PROPER(VLOOKUP(Personel!A107,denem!A:AC,13,0))</f>
        <v>#N/A</v>
      </c>
      <c r="X107" t="s">
        <v>31</v>
      </c>
      <c r="AC107" t="s">
        <v>32</v>
      </c>
    </row>
    <row r="108" spans="1:29" x14ac:dyDescent="0.25">
      <c r="A108" s="8">
        <v>60238234356</v>
      </c>
      <c r="B108" t="s">
        <v>140</v>
      </c>
      <c r="C108" s="7">
        <f>VLOOKUP(Personel!A108,denem!A:AC,8,0)</f>
        <v>0</v>
      </c>
      <c r="D108" s="6">
        <f>VLOOKUP(Personel!A108,denem!A:AC,9,0)</f>
        <v>30072</v>
      </c>
      <c r="F108" t="s">
        <v>314</v>
      </c>
      <c r="H108" t="e">
        <v>#N/A</v>
      </c>
      <c r="I108" s="6" t="e">
        <v>#N/A</v>
      </c>
      <c r="K108" s="6" t="s">
        <v>583</v>
      </c>
      <c r="L108" t="str">
        <f>PROPER(VLOOKUP(Personel!A108,denem!A:AC,10,0))</f>
        <v xml:space="preserve">İstanbul Üniversitesi </v>
      </c>
      <c r="M108" t="str">
        <f>PROPER(VLOOKUP(Personel!A108,denem!A:AC,11,0))</f>
        <v>Tıp Fakültesi</v>
      </c>
      <c r="N108" s="6">
        <f>VLOOKUP(Personel!A108,denem!A:AC,12,0)</f>
        <v>39220</v>
      </c>
      <c r="O108" t="str">
        <f>PROPER(VLOOKUP(Personel!A108,denem!A:AC,13,0))</f>
        <v>26256/29724</v>
      </c>
      <c r="X108" t="s">
        <v>31</v>
      </c>
      <c r="AC108" t="s">
        <v>32</v>
      </c>
    </row>
    <row r="109" spans="1:29" x14ac:dyDescent="0.25">
      <c r="A109" s="8">
        <v>48055109934</v>
      </c>
      <c r="B109" t="s">
        <v>141</v>
      </c>
      <c r="C109" s="7" t="str">
        <f>VLOOKUP(Personel!A109,denem!A:AC,8,0)</f>
        <v>Hatay</v>
      </c>
      <c r="D109" s="6">
        <f>VLOOKUP(Personel!A109,denem!A:AC,9,0)</f>
        <v>35859</v>
      </c>
      <c r="F109" t="s">
        <v>446</v>
      </c>
      <c r="H109" t="s">
        <v>928</v>
      </c>
      <c r="I109" s="6">
        <v>44060</v>
      </c>
      <c r="K109" s="6" t="s">
        <v>579</v>
      </c>
      <c r="L109" t="str">
        <f>PROPER(VLOOKUP(Personel!A109,denem!A:AC,10,0))</f>
        <v>Biruni Üniversitesi</v>
      </c>
      <c r="M109" t="str">
        <f>PROPER(VLOOKUP(Personel!A109,denem!A:AC,11,0))</f>
        <v>Sağ. Hiz. Mes. Yo Tıbbi Görüntüleme Teknikeri</v>
      </c>
      <c r="N109" s="6">
        <f>VLOOKUP(Personel!A109,denem!A:AC,12,0)</f>
        <v>44761</v>
      </c>
      <c r="O109" t="str">
        <f>PROPER(VLOOKUP(Personel!A109,denem!A:AC,13,0))</f>
        <v>22.0738/04953</v>
      </c>
      <c r="X109" t="s">
        <v>31</v>
      </c>
      <c r="AC109" t="s">
        <v>32</v>
      </c>
    </row>
    <row r="110" spans="1:29" x14ac:dyDescent="0.25">
      <c r="A110" s="8">
        <v>98896058014</v>
      </c>
      <c r="B110" t="s">
        <v>142</v>
      </c>
      <c r="C110" s="7" t="e">
        <f>VLOOKUP(Personel!A110,denem!A:AC,8,0)</f>
        <v>#N/A</v>
      </c>
      <c r="D110" s="6" t="e">
        <f>VLOOKUP(Personel!A110,denem!A:AC,9,0)</f>
        <v>#N/A</v>
      </c>
      <c r="F110" t="s">
        <v>303</v>
      </c>
      <c r="H110" t="e">
        <v>#N/A</v>
      </c>
      <c r="I110" s="6" t="e">
        <v>#N/A</v>
      </c>
      <c r="K110" s="6" t="e">
        <v>#N/A</v>
      </c>
      <c r="L110" t="e">
        <f>PROPER(VLOOKUP(Personel!A110,denem!A:AC,10,0))</f>
        <v>#N/A</v>
      </c>
      <c r="M110" t="e">
        <f>PROPER(VLOOKUP(Personel!A110,denem!A:AC,11,0))</f>
        <v>#N/A</v>
      </c>
      <c r="N110" s="6" t="e">
        <f>VLOOKUP(Personel!A110,denem!A:AC,12,0)</f>
        <v>#N/A</v>
      </c>
      <c r="O110" t="e">
        <f>PROPER(VLOOKUP(Personel!A110,denem!A:AC,13,0))</f>
        <v>#N/A</v>
      </c>
      <c r="X110" t="s">
        <v>31</v>
      </c>
      <c r="AC110" t="s">
        <v>32</v>
      </c>
    </row>
    <row r="111" spans="1:29" x14ac:dyDescent="0.25">
      <c r="A111" s="8">
        <v>20194846734</v>
      </c>
      <c r="B111" t="s">
        <v>143</v>
      </c>
      <c r="C111" s="7" t="e">
        <f>VLOOKUP(Personel!A111,denem!A:AC,8,0)</f>
        <v>#N/A</v>
      </c>
      <c r="D111" s="6" t="e">
        <f>VLOOKUP(Personel!A111,denem!A:AC,9,0)</f>
        <v>#N/A</v>
      </c>
      <c r="F111" t="s">
        <v>985</v>
      </c>
      <c r="H111" t="e">
        <v>#N/A</v>
      </c>
      <c r="I111" s="6" t="e">
        <v>#N/A</v>
      </c>
      <c r="K111" s="6" t="e">
        <v>#N/A</v>
      </c>
      <c r="L111" t="e">
        <f>PROPER(VLOOKUP(Personel!A111,denem!A:AC,10,0))</f>
        <v>#N/A</v>
      </c>
      <c r="M111" t="e">
        <f>PROPER(VLOOKUP(Personel!A111,denem!A:AC,11,0))</f>
        <v>#N/A</v>
      </c>
      <c r="N111" s="6" t="e">
        <f>VLOOKUP(Personel!A111,denem!A:AC,12,0)</f>
        <v>#N/A</v>
      </c>
      <c r="O111" t="e">
        <f>PROPER(VLOOKUP(Personel!A111,denem!A:AC,13,0))</f>
        <v>#N/A</v>
      </c>
      <c r="X111" t="s">
        <v>31</v>
      </c>
      <c r="AC111" t="s">
        <v>32</v>
      </c>
    </row>
    <row r="112" spans="1:29" x14ac:dyDescent="0.25">
      <c r="A112" s="8">
        <v>46462362676</v>
      </c>
      <c r="B112" t="s">
        <v>144</v>
      </c>
      <c r="C112" s="7" t="str">
        <f>VLOOKUP(Personel!A112,denem!A:AC,8,0)</f>
        <v>İstanbul</v>
      </c>
      <c r="D112" s="6">
        <f>VLOOKUP(Personel!A112,denem!A:AC,9,0)</f>
        <v>31778</v>
      </c>
      <c r="F112" t="s">
        <v>235</v>
      </c>
      <c r="H112" t="e">
        <v>#N/A</v>
      </c>
      <c r="I112" s="6" t="e">
        <v>#N/A</v>
      </c>
      <c r="K112" s="6" t="s">
        <v>589</v>
      </c>
      <c r="L112" t="str">
        <f>PROPER(VLOOKUP(Personel!A112,denem!A:AC,10,0))</f>
        <v>Marmara Üniversitesi</v>
      </c>
      <c r="M112" t="str">
        <f>PROPER(VLOOKUP(Personel!A112,denem!A:AC,11,0))</f>
        <v>Sağ. Hiz. Mes. Yo Radyoloji Bölümü</v>
      </c>
      <c r="N112" s="6">
        <f>VLOOKUP(Personel!A112,denem!A:AC,12,0)</f>
        <v>41367</v>
      </c>
      <c r="O112" t="str">
        <f>PROPER(VLOOKUP(Personel!A112,denem!A:AC,13,0))</f>
        <v>65305</v>
      </c>
      <c r="X112" t="s">
        <v>31</v>
      </c>
      <c r="AC112" t="s">
        <v>32</v>
      </c>
    </row>
    <row r="113" spans="1:29" x14ac:dyDescent="0.25">
      <c r="A113" s="8">
        <v>60871104344</v>
      </c>
      <c r="B113" t="s">
        <v>145</v>
      </c>
      <c r="C113" s="7" t="e">
        <f>VLOOKUP(Personel!A113,denem!A:AC,8,0)</f>
        <v>#N/A</v>
      </c>
      <c r="D113" s="6" t="e">
        <f>VLOOKUP(Personel!A113,denem!A:AC,9,0)</f>
        <v>#N/A</v>
      </c>
      <c r="F113" t="s">
        <v>985</v>
      </c>
      <c r="H113" t="e">
        <v>#N/A</v>
      </c>
      <c r="I113" s="6" t="e">
        <v>#N/A</v>
      </c>
      <c r="K113" s="6" t="e">
        <v>#N/A</v>
      </c>
      <c r="L113" t="e">
        <f>PROPER(VLOOKUP(Personel!A113,denem!A:AC,10,0))</f>
        <v>#N/A</v>
      </c>
      <c r="M113" t="e">
        <f>PROPER(VLOOKUP(Personel!A113,denem!A:AC,11,0))</f>
        <v>#N/A</v>
      </c>
      <c r="N113" s="6" t="e">
        <f>VLOOKUP(Personel!A113,denem!A:AC,12,0)</f>
        <v>#N/A</v>
      </c>
      <c r="O113" t="e">
        <f>PROPER(VLOOKUP(Personel!A113,denem!A:AC,13,0))</f>
        <v>#N/A</v>
      </c>
      <c r="X113" t="s">
        <v>31</v>
      </c>
      <c r="AC113" t="s">
        <v>32</v>
      </c>
    </row>
    <row r="114" spans="1:29" x14ac:dyDescent="0.25">
      <c r="A114" s="8">
        <v>11437413172</v>
      </c>
      <c r="B114" t="s">
        <v>146</v>
      </c>
      <c r="C114" s="7" t="str">
        <f>VLOOKUP(Personel!A114,denem!A:AC,8,0)</f>
        <v xml:space="preserve">Yüreğir </v>
      </c>
      <c r="D114" s="6">
        <f>VLOOKUP(Personel!A114,denem!A:AC,9,0)</f>
        <v>31048</v>
      </c>
      <c r="F114" t="s">
        <v>235</v>
      </c>
      <c r="H114" t="s">
        <v>930</v>
      </c>
      <c r="I114" s="6">
        <v>40148</v>
      </c>
      <c r="K114" s="6" t="s">
        <v>591</v>
      </c>
      <c r="L114" t="str">
        <f>PROPER(VLOOKUP(Personel!A114,denem!A:AC,10,0))</f>
        <v>Yüzüncü Yıl Üniversitesi</v>
      </c>
      <c r="M114" t="str">
        <f>PROPER(VLOOKUP(Personel!A114,denem!A:AC,11,0))</f>
        <v>Van Sağ. Hiz. Mes. Yo Radyoloji Bölümü</v>
      </c>
      <c r="N114" s="6">
        <f>VLOOKUP(Personel!A114,denem!A:AC,12,0)</f>
        <v>39981</v>
      </c>
      <c r="O114" t="str">
        <f>PROPER(VLOOKUP(Personel!A114,denem!A:AC,13,0))</f>
        <v>265</v>
      </c>
      <c r="X114" t="s">
        <v>31</v>
      </c>
      <c r="AC114" t="s">
        <v>32</v>
      </c>
    </row>
    <row r="115" spans="1:29" x14ac:dyDescent="0.25">
      <c r="A115" s="8">
        <v>50575679194</v>
      </c>
      <c r="B115" t="s">
        <v>147</v>
      </c>
      <c r="C115" s="7" t="str">
        <f>VLOOKUP(Personel!A115,denem!A:AC,8,0)</f>
        <v>İstanbul</v>
      </c>
      <c r="D115" s="6">
        <f>VLOOKUP(Personel!A115,denem!A:AC,9,0)</f>
        <v>35054</v>
      </c>
      <c r="F115" t="s">
        <v>303</v>
      </c>
      <c r="H115" t="e">
        <v>#N/A</v>
      </c>
      <c r="I115" s="6" t="e">
        <v>#N/A</v>
      </c>
      <c r="K115" s="6" t="s">
        <v>594</v>
      </c>
      <c r="L115" t="str">
        <f>PROPER(VLOOKUP(Personel!A115,denem!A:AC,10,0))</f>
        <v xml:space="preserve">İstanbul Üniversitesi </v>
      </c>
      <c r="M115" t="str">
        <f>PROPER(VLOOKUP(Personel!A115,denem!A:AC,11,0))</f>
        <v xml:space="preserve">Cerrahpaşa Tıp Fakültesi </v>
      </c>
      <c r="N115" s="6">
        <f>VLOOKUP(Personel!A115,denem!A:AC,12,0)</f>
        <v>43651</v>
      </c>
      <c r="O115" t="str">
        <f>PROPER(VLOOKUP(Personel!A115,denem!A:AC,13,0))</f>
        <v>Ci-1837</v>
      </c>
      <c r="X115" t="s">
        <v>31</v>
      </c>
      <c r="AC115" t="s">
        <v>32</v>
      </c>
    </row>
    <row r="116" spans="1:29" x14ac:dyDescent="0.25">
      <c r="A116" s="8">
        <v>49576376782</v>
      </c>
      <c r="B116" t="s">
        <v>148</v>
      </c>
      <c r="C116" s="7" t="str">
        <f>VLOOKUP(Personel!A116,denem!A:AC,8,0)</f>
        <v>İstanbul</v>
      </c>
      <c r="D116" s="6">
        <f>VLOOKUP(Personel!A116,denem!A:AC,9,0)</f>
        <v>31778</v>
      </c>
      <c r="F116" t="s">
        <v>235</v>
      </c>
      <c r="H116" t="s">
        <v>933</v>
      </c>
      <c r="I116" s="6">
        <v>41562</v>
      </c>
      <c r="K116" s="6" t="s">
        <v>598</v>
      </c>
      <c r="L116" t="str">
        <f>PROPER(VLOOKUP(Personel!A116,denem!A:AC,10,0))</f>
        <v>İstanbul Bilim Üniversitesi</v>
      </c>
      <c r="M116" t="str">
        <f>PROPER(VLOOKUP(Personel!A116,denem!A:AC,11,0))</f>
        <v>Sağ. Hiz. Mes. Yo Tıbbi Görüntüleme Teknikeri</v>
      </c>
      <c r="N116" s="6">
        <f>VLOOKUP(Personel!A116,denem!A:AC,12,0)</f>
        <v>39611</v>
      </c>
      <c r="O116" t="str">
        <f>PROPER(VLOOKUP(Personel!A116,denem!A:AC,13,0))</f>
        <v>50</v>
      </c>
      <c r="X116" t="s">
        <v>31</v>
      </c>
      <c r="AC116" t="s">
        <v>32</v>
      </c>
    </row>
    <row r="117" spans="1:29" x14ac:dyDescent="0.25">
      <c r="A117" s="8">
        <v>13166820894</v>
      </c>
      <c r="B117" t="s">
        <v>149</v>
      </c>
      <c r="C117" s="7" t="e">
        <f>VLOOKUP(Personel!A117,denem!A:AC,8,0)</f>
        <v>#N/A</v>
      </c>
      <c r="D117" s="6" t="e">
        <f>VLOOKUP(Personel!A117,denem!A:AC,9,0)</f>
        <v>#N/A</v>
      </c>
      <c r="F117" t="s">
        <v>993</v>
      </c>
      <c r="H117" t="e">
        <v>#N/A</v>
      </c>
      <c r="I117" s="6" t="e">
        <v>#N/A</v>
      </c>
      <c r="K117" s="6" t="e">
        <v>#N/A</v>
      </c>
      <c r="L117" t="e">
        <f>PROPER(VLOOKUP(Personel!A117,denem!A:AC,10,0))</f>
        <v>#N/A</v>
      </c>
      <c r="M117" t="e">
        <f>PROPER(VLOOKUP(Personel!A117,denem!A:AC,11,0))</f>
        <v>#N/A</v>
      </c>
      <c r="N117" s="6" t="e">
        <f>VLOOKUP(Personel!A117,denem!A:AC,12,0)</f>
        <v>#N/A</v>
      </c>
      <c r="O117" t="e">
        <f>PROPER(VLOOKUP(Personel!A117,denem!A:AC,13,0))</f>
        <v>#N/A</v>
      </c>
      <c r="X117" t="s">
        <v>31</v>
      </c>
      <c r="AC117" t="s">
        <v>32</v>
      </c>
    </row>
    <row r="118" spans="1:29" x14ac:dyDescent="0.25">
      <c r="A118" s="8">
        <v>11993631676</v>
      </c>
      <c r="B118" t="s">
        <v>150</v>
      </c>
      <c r="C118" s="7" t="e">
        <f>VLOOKUP(Personel!A118,denem!A:AC,8,0)</f>
        <v>#N/A</v>
      </c>
      <c r="D118" s="6" t="e">
        <f>VLOOKUP(Personel!A118,denem!A:AC,9,0)</f>
        <v>#N/A</v>
      </c>
      <c r="F118" t="s">
        <v>993</v>
      </c>
      <c r="H118" t="e">
        <v>#N/A</v>
      </c>
      <c r="I118" s="6" t="e">
        <v>#N/A</v>
      </c>
      <c r="K118" s="6" t="e">
        <v>#N/A</v>
      </c>
      <c r="L118" t="e">
        <f>PROPER(VLOOKUP(Personel!A118,denem!A:AC,10,0))</f>
        <v>#N/A</v>
      </c>
      <c r="M118" t="e">
        <f>PROPER(VLOOKUP(Personel!A118,denem!A:AC,11,0))</f>
        <v>#N/A</v>
      </c>
      <c r="N118" s="6" t="e">
        <f>VLOOKUP(Personel!A118,denem!A:AC,12,0)</f>
        <v>#N/A</v>
      </c>
      <c r="O118" t="e">
        <f>PROPER(VLOOKUP(Personel!A118,denem!A:AC,13,0))</f>
        <v>#N/A</v>
      </c>
      <c r="X118" t="s">
        <v>31</v>
      </c>
      <c r="AC118" t="s">
        <v>32</v>
      </c>
    </row>
    <row r="119" spans="1:29" x14ac:dyDescent="0.25">
      <c r="A119" s="8">
        <v>57901446680</v>
      </c>
      <c r="B119" t="s">
        <v>151</v>
      </c>
      <c r="C119" s="7" t="e">
        <f>VLOOKUP(Personel!A119,denem!A:AC,8,0)</f>
        <v>#N/A</v>
      </c>
      <c r="D119" s="6" t="e">
        <f>VLOOKUP(Personel!A119,denem!A:AC,9,0)</f>
        <v>#N/A</v>
      </c>
      <c r="F119" t="s">
        <v>986</v>
      </c>
      <c r="H119" t="e">
        <v>#N/A</v>
      </c>
      <c r="I119" s="6" t="e">
        <v>#N/A</v>
      </c>
      <c r="K119" s="6" t="e">
        <v>#N/A</v>
      </c>
      <c r="L119" t="e">
        <f>PROPER(VLOOKUP(Personel!A119,denem!A:AC,10,0))</f>
        <v>#N/A</v>
      </c>
      <c r="M119" t="e">
        <f>PROPER(VLOOKUP(Personel!A119,denem!A:AC,11,0))</f>
        <v>#N/A</v>
      </c>
      <c r="N119" s="6" t="e">
        <f>VLOOKUP(Personel!A119,denem!A:AC,12,0)</f>
        <v>#N/A</v>
      </c>
      <c r="O119" t="e">
        <f>PROPER(VLOOKUP(Personel!A119,denem!A:AC,13,0))</f>
        <v>#N/A</v>
      </c>
      <c r="X119" t="s">
        <v>31</v>
      </c>
      <c r="AC119" t="s">
        <v>32</v>
      </c>
    </row>
    <row r="120" spans="1:29" x14ac:dyDescent="0.25">
      <c r="A120" s="8">
        <v>25300814430</v>
      </c>
      <c r="B120" t="s">
        <v>152</v>
      </c>
      <c r="C120" s="7" t="str">
        <f>VLOOKUP(Personel!A120,denem!A:AC,8,0)</f>
        <v>İstanbul</v>
      </c>
      <c r="D120" s="6">
        <f>VLOOKUP(Personel!A120,denem!A:AC,9,0)</f>
        <v>34516</v>
      </c>
      <c r="F120" t="s">
        <v>995</v>
      </c>
      <c r="H120" t="s">
        <v>937</v>
      </c>
      <c r="I120" s="6">
        <v>44260</v>
      </c>
      <c r="K120" s="6" t="s">
        <v>605</v>
      </c>
      <c r="L120" t="str">
        <f>PROPER(VLOOKUP(Personel!A120,denem!A:AC,10,0))</f>
        <v>Bezmialem Vakıf Üniversitesi</v>
      </c>
      <c r="M120" t="str">
        <f>PROPER(VLOOKUP(Personel!A120,denem!A:AC,11,0))</f>
        <v>Sağ. Hiz. Mes. Yo Tıbbi Görüntüleme Teknikeri</v>
      </c>
      <c r="N120" s="6">
        <f>VLOOKUP(Personel!A120,denem!A:AC,12,0)</f>
        <v>42292</v>
      </c>
      <c r="O120" t="str">
        <f>PROPER(VLOOKUP(Personel!A120,denem!A:AC,13,0))</f>
        <v>150101</v>
      </c>
      <c r="X120" t="s">
        <v>31</v>
      </c>
      <c r="AC120" t="s">
        <v>32</v>
      </c>
    </row>
    <row r="121" spans="1:29" x14ac:dyDescent="0.25">
      <c r="A121" s="8">
        <v>35317469424</v>
      </c>
      <c r="B121" t="s">
        <v>153</v>
      </c>
      <c r="C121" s="7" t="e">
        <f>VLOOKUP(Personel!A121,denem!A:AC,8,0)</f>
        <v>#N/A</v>
      </c>
      <c r="D121" s="6" t="e">
        <f>VLOOKUP(Personel!A121,denem!A:AC,9,0)</f>
        <v>#N/A</v>
      </c>
      <c r="F121" t="s">
        <v>985</v>
      </c>
      <c r="H121" t="e">
        <v>#N/A</v>
      </c>
      <c r="I121" s="6" t="e">
        <v>#N/A</v>
      </c>
      <c r="K121" s="6" t="e">
        <v>#N/A</v>
      </c>
      <c r="L121" t="e">
        <f>PROPER(VLOOKUP(Personel!A121,denem!A:AC,10,0))</f>
        <v>#N/A</v>
      </c>
      <c r="M121" t="e">
        <f>PROPER(VLOOKUP(Personel!A121,denem!A:AC,11,0))</f>
        <v>#N/A</v>
      </c>
      <c r="N121" s="6" t="e">
        <f>VLOOKUP(Personel!A121,denem!A:AC,12,0)</f>
        <v>#N/A</v>
      </c>
      <c r="O121" t="e">
        <f>PROPER(VLOOKUP(Personel!A121,denem!A:AC,13,0))</f>
        <v>#N/A</v>
      </c>
      <c r="X121" t="s">
        <v>31</v>
      </c>
      <c r="AC121" t="s">
        <v>32</v>
      </c>
    </row>
    <row r="122" spans="1:29" x14ac:dyDescent="0.25">
      <c r="A122" s="8">
        <v>44626390992</v>
      </c>
      <c r="B122" t="s">
        <v>154</v>
      </c>
      <c r="C122" s="7" t="str">
        <f>VLOOKUP(Personel!A122,denem!A:AC,8,0)</f>
        <v>İstanbul</v>
      </c>
      <c r="D122" s="6">
        <f>VLOOKUP(Personel!A122,denem!A:AC,9,0)</f>
        <v>25315</v>
      </c>
      <c r="F122" t="s">
        <v>314</v>
      </c>
      <c r="H122" t="e">
        <v>#N/A</v>
      </c>
      <c r="I122" s="6" t="e">
        <v>#N/A</v>
      </c>
      <c r="K122" s="6" t="s">
        <v>609</v>
      </c>
      <c r="L122" t="str">
        <f>PROPER(VLOOKUP(Personel!A122,denem!A:AC,10,0))</f>
        <v xml:space="preserve">İstanbul Üniversitesi </v>
      </c>
      <c r="M122" t="str">
        <f>PROPER(VLOOKUP(Personel!A122,denem!A:AC,11,0))</f>
        <v>İstanbul Tıp Fakültesi</v>
      </c>
      <c r="N122" s="6">
        <f>VLOOKUP(Personel!A122,denem!A:AC,12,0)</f>
        <v>34151</v>
      </c>
      <c r="O122" t="str">
        <f>PROPER(VLOOKUP(Personel!A122,denem!A:AC,13,0))</f>
        <v>21722-25190</v>
      </c>
      <c r="X122" t="s">
        <v>31</v>
      </c>
      <c r="AC122" t="s">
        <v>32</v>
      </c>
    </row>
    <row r="123" spans="1:29" x14ac:dyDescent="0.25">
      <c r="A123" s="8">
        <v>25333965444</v>
      </c>
      <c r="B123" t="s">
        <v>155</v>
      </c>
      <c r="C123" s="7" t="str">
        <f>VLOOKUP(Personel!A123,denem!A:AC,8,0)</f>
        <v>İstanbul</v>
      </c>
      <c r="D123" s="6">
        <f>VLOOKUP(Personel!A123,denem!A:AC,9,0)</f>
        <v>30057</v>
      </c>
      <c r="F123" t="s">
        <v>235</v>
      </c>
      <c r="H123" t="s">
        <v>943</v>
      </c>
      <c r="I123" s="6">
        <v>40910</v>
      </c>
      <c r="K123" s="6" t="s">
        <v>620</v>
      </c>
      <c r="L123" t="str">
        <f>PROPER(VLOOKUP(Personel!A123,denem!A:AC,10,0))</f>
        <v xml:space="preserve">İstanbul Üniversitesi </v>
      </c>
      <c r="M123" t="str">
        <f>PROPER(VLOOKUP(Personel!A123,denem!A:AC,11,0))</f>
        <v>Sağ. Hiz. Mes. Yo Radyoloji Bölümü</v>
      </c>
      <c r="N123" s="6">
        <f>VLOOKUP(Personel!A123,denem!A:AC,12,0)</f>
        <v>37257</v>
      </c>
      <c r="O123" t="str">
        <f>PROPER(VLOOKUP(Personel!A123,denem!A:AC,13,0))</f>
        <v/>
      </c>
      <c r="X123" t="s">
        <v>31</v>
      </c>
      <c r="AC123" t="s">
        <v>32</v>
      </c>
    </row>
    <row r="124" spans="1:29" x14ac:dyDescent="0.25">
      <c r="A124" s="8">
        <v>24547704474</v>
      </c>
      <c r="B124" t="s">
        <v>156</v>
      </c>
      <c r="C124" s="7" t="str">
        <f>VLOOKUP(Personel!A124,denem!A:AC,8,0)</f>
        <v>Elazığ</v>
      </c>
      <c r="D124" s="6">
        <f>VLOOKUP(Personel!A124,denem!A:AC,9,0)</f>
        <v>30377</v>
      </c>
      <c r="F124" t="s">
        <v>235</v>
      </c>
      <c r="H124" t="e">
        <v>#N/A</v>
      </c>
      <c r="I124" s="6" t="e">
        <v>#N/A</v>
      </c>
      <c r="K124" s="6" t="s">
        <v>623</v>
      </c>
      <c r="L124" t="str">
        <f>PROPER(VLOOKUP(Personel!A124,denem!A:AC,10,0))</f>
        <v>Firat Üniversitesi</v>
      </c>
      <c r="M124" t="str">
        <f>PROPER(VLOOKUP(Personel!A124,denem!A:AC,11,0))</f>
        <v>Sağ. Hiz. Mes. Yo Radyoloji Bölümü</v>
      </c>
      <c r="N124" s="6">
        <f>VLOOKUP(Personel!A124,denem!A:AC,12,0)</f>
        <v>38544</v>
      </c>
      <c r="O124" t="str">
        <f>PROPER(VLOOKUP(Personel!A124,denem!A:AC,13,0))</f>
        <v/>
      </c>
      <c r="X124" t="s">
        <v>31</v>
      </c>
      <c r="AC124" t="s">
        <v>32</v>
      </c>
    </row>
    <row r="125" spans="1:29" x14ac:dyDescent="0.25">
      <c r="A125" s="8">
        <v>43471252974</v>
      </c>
      <c r="B125" t="s">
        <v>157</v>
      </c>
      <c r="C125" s="7" t="e">
        <f>VLOOKUP(Personel!A125,denem!A:AC,8,0)</f>
        <v>#N/A</v>
      </c>
      <c r="D125" s="6" t="e">
        <f>VLOOKUP(Personel!A125,denem!A:AC,9,0)</f>
        <v>#N/A</v>
      </c>
      <c r="F125" t="s">
        <v>993</v>
      </c>
      <c r="H125" t="e">
        <v>#N/A</v>
      </c>
      <c r="I125" s="6" t="e">
        <v>#N/A</v>
      </c>
      <c r="K125" s="6" t="e">
        <v>#N/A</v>
      </c>
      <c r="L125" t="e">
        <f>PROPER(VLOOKUP(Personel!A125,denem!A:AC,10,0))</f>
        <v>#N/A</v>
      </c>
      <c r="M125" t="e">
        <f>PROPER(VLOOKUP(Personel!A125,denem!A:AC,11,0))</f>
        <v>#N/A</v>
      </c>
      <c r="N125" s="6" t="e">
        <f>VLOOKUP(Personel!A125,denem!A:AC,12,0)</f>
        <v>#N/A</v>
      </c>
      <c r="O125" t="e">
        <f>PROPER(VLOOKUP(Personel!A125,denem!A:AC,13,0))</f>
        <v>#N/A</v>
      </c>
      <c r="X125" t="s">
        <v>31</v>
      </c>
      <c r="AC125" t="s">
        <v>32</v>
      </c>
    </row>
    <row r="126" spans="1:29" x14ac:dyDescent="0.25">
      <c r="A126" s="8">
        <v>48076259472</v>
      </c>
      <c r="B126" t="s">
        <v>158</v>
      </c>
      <c r="C126" s="7" t="e">
        <f>VLOOKUP(Personel!A126,denem!A:AC,8,0)</f>
        <v>#N/A</v>
      </c>
      <c r="D126" s="6" t="e">
        <f>VLOOKUP(Personel!A126,denem!A:AC,9,0)</f>
        <v>#N/A</v>
      </c>
      <c r="F126" t="s">
        <v>988</v>
      </c>
      <c r="H126" t="e">
        <v>#N/A</v>
      </c>
      <c r="I126" s="6" t="e">
        <v>#N/A</v>
      </c>
      <c r="K126" s="6" t="e">
        <v>#N/A</v>
      </c>
      <c r="L126" t="e">
        <f>PROPER(VLOOKUP(Personel!A126,denem!A:AC,10,0))</f>
        <v>#N/A</v>
      </c>
      <c r="M126" t="e">
        <f>PROPER(VLOOKUP(Personel!A126,denem!A:AC,11,0))</f>
        <v>#N/A</v>
      </c>
      <c r="N126" s="6" t="e">
        <f>VLOOKUP(Personel!A126,denem!A:AC,12,0)</f>
        <v>#N/A</v>
      </c>
      <c r="O126" t="e">
        <f>PROPER(VLOOKUP(Personel!A126,denem!A:AC,13,0))</f>
        <v>#N/A</v>
      </c>
      <c r="X126" t="s">
        <v>31</v>
      </c>
      <c r="AC126" t="s">
        <v>32</v>
      </c>
    </row>
    <row r="127" spans="1:29" x14ac:dyDescent="0.25">
      <c r="A127" s="8">
        <v>11012515512</v>
      </c>
      <c r="B127" t="s">
        <v>159</v>
      </c>
      <c r="C127" s="7" t="e">
        <f>VLOOKUP(Personel!A127,denem!A:AC,8,0)</f>
        <v>#N/A</v>
      </c>
      <c r="D127" s="6" t="e">
        <f>VLOOKUP(Personel!A127,denem!A:AC,9,0)</f>
        <v>#N/A</v>
      </c>
      <c r="F127" t="s">
        <v>985</v>
      </c>
      <c r="H127" t="e">
        <v>#N/A</v>
      </c>
      <c r="I127" s="6" t="e">
        <v>#N/A</v>
      </c>
      <c r="K127" s="6" t="e">
        <v>#N/A</v>
      </c>
      <c r="L127" t="e">
        <f>PROPER(VLOOKUP(Personel!A127,denem!A:AC,10,0))</f>
        <v>#N/A</v>
      </c>
      <c r="M127" t="e">
        <f>PROPER(VLOOKUP(Personel!A127,denem!A:AC,11,0))</f>
        <v>#N/A</v>
      </c>
      <c r="N127" s="6" t="e">
        <f>VLOOKUP(Personel!A127,denem!A:AC,12,0)</f>
        <v>#N/A</v>
      </c>
      <c r="O127" t="e">
        <f>PROPER(VLOOKUP(Personel!A127,denem!A:AC,13,0))</f>
        <v>#N/A</v>
      </c>
      <c r="X127" t="s">
        <v>31</v>
      </c>
      <c r="AC127" t="s">
        <v>32</v>
      </c>
    </row>
    <row r="128" spans="1:29" x14ac:dyDescent="0.25">
      <c r="A128" s="8">
        <v>43702132068</v>
      </c>
      <c r="B128" t="s">
        <v>160</v>
      </c>
      <c r="C128" s="7" t="str">
        <f>VLOOKUP(Personel!A128,denem!A:AC,8,0)</f>
        <v>İstanbul</v>
      </c>
      <c r="D128" s="6">
        <f>VLOOKUP(Personel!A128,denem!A:AC,9,0)</f>
        <v>32143</v>
      </c>
      <c r="F128" t="s">
        <v>235</v>
      </c>
      <c r="H128" t="s">
        <v>946</v>
      </c>
      <c r="I128" s="6">
        <v>41001</v>
      </c>
      <c r="K128" s="6" t="s">
        <v>632</v>
      </c>
      <c r="L128" t="str">
        <f>PROPER(VLOOKUP(Personel!A128,denem!A:AC,10,0))</f>
        <v>İstanbul Bilim Üniversitesi Radyoloji</v>
      </c>
      <c r="M128" t="str">
        <f>PROPER(VLOOKUP(Personel!A128,denem!A:AC,11,0))</f>
        <v>Sağ. Hiz. Mes. Yo Tıbbi Görüntüleme Teknikeri</v>
      </c>
      <c r="N128" s="6" t="str">
        <f>VLOOKUP(Personel!A128,denem!A:AC,12,0)</f>
        <v>07.07.2010/093</v>
      </c>
      <c r="O128" t="str">
        <f>PROPER(VLOOKUP(Personel!A128,denem!A:AC,13,0))</f>
        <v>93</v>
      </c>
      <c r="X128" t="s">
        <v>31</v>
      </c>
      <c r="AC128" t="s">
        <v>32</v>
      </c>
    </row>
    <row r="129" spans="1:29" x14ac:dyDescent="0.25">
      <c r="A129" s="8">
        <v>47110171046</v>
      </c>
      <c r="B129" t="s">
        <v>161</v>
      </c>
      <c r="C129" s="7">
        <f>VLOOKUP(Personel!A129,denem!A:AC,8,0)</f>
        <v>0</v>
      </c>
      <c r="D129" s="6">
        <f>VLOOKUP(Personel!A129,denem!A:AC,9,0)</f>
        <v>35331</v>
      </c>
      <c r="F129" t="s">
        <v>985</v>
      </c>
      <c r="H129" t="e">
        <v>#N/A</v>
      </c>
      <c r="I129" s="6" t="e">
        <v>#N/A</v>
      </c>
      <c r="K129" s="6" t="s">
        <v>644</v>
      </c>
      <c r="L129" t="str">
        <f>PROPER(VLOOKUP(Personel!A129,denem!A:AC,10,0))</f>
        <v>Bahçeşehir Universitesi</v>
      </c>
      <c r="M129" t="str">
        <f>PROPER(VLOOKUP(Personel!A129,denem!A:AC,11,0))</f>
        <v>Tıp Fakültesi</v>
      </c>
      <c r="N129" s="6" t="str">
        <f>VLOOKUP(Personel!A129,denem!A:AC,12,0)</f>
        <v>05/07/2021 233161</v>
      </c>
      <c r="O129" t="str">
        <f>PROPER(VLOOKUP(Personel!A129,denem!A:AC,13,0))</f>
        <v>2331661</v>
      </c>
      <c r="X129" t="s">
        <v>31</v>
      </c>
      <c r="AC129" t="s">
        <v>32</v>
      </c>
    </row>
    <row r="130" spans="1:29" x14ac:dyDescent="0.25">
      <c r="A130" s="8">
        <v>58648338870</v>
      </c>
      <c r="B130" t="s">
        <v>162</v>
      </c>
      <c r="C130" s="7" t="e">
        <f>VLOOKUP(Personel!A130,denem!A:AC,8,0)</f>
        <v>#N/A</v>
      </c>
      <c r="D130" s="6" t="e">
        <f>VLOOKUP(Personel!A130,denem!A:AC,9,0)</f>
        <v>#N/A</v>
      </c>
      <c r="F130" t="s">
        <v>985</v>
      </c>
      <c r="H130" t="e">
        <v>#N/A</v>
      </c>
      <c r="I130" s="6" t="e">
        <v>#N/A</v>
      </c>
      <c r="K130" s="6" t="e">
        <v>#N/A</v>
      </c>
      <c r="L130" t="e">
        <f>PROPER(VLOOKUP(Personel!A130,denem!A:AC,10,0))</f>
        <v>#N/A</v>
      </c>
      <c r="M130" t="e">
        <f>PROPER(VLOOKUP(Personel!A130,denem!A:AC,11,0))</f>
        <v>#N/A</v>
      </c>
      <c r="N130" s="6" t="e">
        <f>VLOOKUP(Personel!A130,denem!A:AC,12,0)</f>
        <v>#N/A</v>
      </c>
      <c r="O130" t="e">
        <f>PROPER(VLOOKUP(Personel!A130,denem!A:AC,13,0))</f>
        <v>#N/A</v>
      </c>
      <c r="X130" t="s">
        <v>31</v>
      </c>
      <c r="AC130" t="s">
        <v>32</v>
      </c>
    </row>
    <row r="131" spans="1:29" x14ac:dyDescent="0.25">
      <c r="A131" s="8">
        <v>31021518472</v>
      </c>
      <c r="B131" t="s">
        <v>163</v>
      </c>
      <c r="C131" s="7" t="str">
        <f>VLOOKUP(Personel!A131,denem!A:AC,8,0)</f>
        <v>Erzincan</v>
      </c>
      <c r="D131" s="6">
        <f>VLOOKUP(Personel!A131,denem!A:AC,9,0)</f>
        <v>28338</v>
      </c>
      <c r="F131" t="s">
        <v>235</v>
      </c>
      <c r="H131" t="e">
        <v>#N/A</v>
      </c>
      <c r="I131" s="6" t="e">
        <v>#N/A</v>
      </c>
      <c r="K131" s="6" t="s">
        <v>652</v>
      </c>
      <c r="L131" t="str">
        <f>PROPER(VLOOKUP(Personel!A131,denem!A:AC,10,0))</f>
        <v>Marmara Üniversitesi</v>
      </c>
      <c r="M131" t="str">
        <f>PROPER(VLOOKUP(Personel!A131,denem!A:AC,11,0))</f>
        <v>Haydar Paşa Sağ. Hiz. Mes. Yo Radyoloji Bölümü</v>
      </c>
      <c r="N131" s="6">
        <f>VLOOKUP(Personel!A131,denem!A:AC,12,0)</f>
        <v>1996</v>
      </c>
      <c r="O131" t="str">
        <f>PROPER(VLOOKUP(Personel!A131,denem!A:AC,13,0))</f>
        <v/>
      </c>
      <c r="X131" t="s">
        <v>31</v>
      </c>
      <c r="AC131" t="s">
        <v>32</v>
      </c>
    </row>
    <row r="132" spans="1:29" x14ac:dyDescent="0.25">
      <c r="A132" s="8">
        <v>17512109152</v>
      </c>
      <c r="B132" t="s">
        <v>164</v>
      </c>
      <c r="C132" s="7" t="str">
        <f>VLOOKUP(Personel!A132,denem!A:AC,8,0)</f>
        <v>Erzurum</v>
      </c>
      <c r="D132" s="6">
        <f>VLOOKUP(Personel!A132,denem!A:AC,9,0)</f>
        <v>34700</v>
      </c>
      <c r="F132" t="s">
        <v>303</v>
      </c>
      <c r="H132" t="e">
        <v>#N/A</v>
      </c>
      <c r="I132" s="6" t="e">
        <v>#N/A</v>
      </c>
      <c r="K132" s="6" t="s">
        <v>648</v>
      </c>
      <c r="L132" t="str">
        <f>PROPER(VLOOKUP(Personel!A132,denem!A:AC,10,0))</f>
        <v xml:space="preserve">İstanbul Üniversitesi </v>
      </c>
      <c r="M132" t="str">
        <f>PROPER(VLOOKUP(Personel!A132,denem!A:AC,11,0))</f>
        <v>İstanbul Tıp Fakflltesi</v>
      </c>
      <c r="N132" s="6" t="str">
        <f>VLOOKUP(Personel!A132,denem!A:AC,12,0)</f>
        <v>07/07/2019.  31474/34942</v>
      </c>
      <c r="O132" t="str">
        <f>PROPER(VLOOKUP(Personel!A132,denem!A:AC,13,0))</f>
        <v>31474/34942</v>
      </c>
      <c r="X132" t="s">
        <v>31</v>
      </c>
      <c r="AC132" t="s">
        <v>32</v>
      </c>
    </row>
    <row r="133" spans="1:29" x14ac:dyDescent="0.25">
      <c r="A133" s="8">
        <v>55153668942</v>
      </c>
      <c r="B133" t="s">
        <v>165</v>
      </c>
      <c r="C133" s="7" t="e">
        <f>VLOOKUP(Personel!A133,denem!A:AC,8,0)</f>
        <v>#N/A</v>
      </c>
      <c r="D133" s="6" t="e">
        <f>VLOOKUP(Personel!A133,denem!A:AC,9,0)</f>
        <v>#N/A</v>
      </c>
      <c r="F133" t="s">
        <v>985</v>
      </c>
      <c r="H133" t="e">
        <v>#N/A</v>
      </c>
      <c r="I133" s="6" t="e">
        <v>#N/A</v>
      </c>
      <c r="K133" s="6" t="e">
        <v>#N/A</v>
      </c>
      <c r="L133" t="e">
        <f>PROPER(VLOOKUP(Personel!A133,denem!A:AC,10,0))</f>
        <v>#N/A</v>
      </c>
      <c r="M133" t="e">
        <f>PROPER(VLOOKUP(Personel!A133,denem!A:AC,11,0))</f>
        <v>#N/A</v>
      </c>
      <c r="N133" s="6" t="e">
        <f>VLOOKUP(Personel!A133,denem!A:AC,12,0)</f>
        <v>#N/A</v>
      </c>
      <c r="O133" t="e">
        <f>PROPER(VLOOKUP(Personel!A133,denem!A:AC,13,0))</f>
        <v>#N/A</v>
      </c>
      <c r="X133" t="s">
        <v>31</v>
      </c>
      <c r="AC133" t="s">
        <v>32</v>
      </c>
    </row>
    <row r="134" spans="1:29" x14ac:dyDescent="0.25">
      <c r="A134" s="8">
        <v>11086810612</v>
      </c>
      <c r="B134" t="s">
        <v>166</v>
      </c>
      <c r="C134" s="7" t="str">
        <f>VLOOKUP(Personel!A134,denem!A:AC,8,0)</f>
        <v>Savaştepe</v>
      </c>
      <c r="D134" s="6">
        <f>VLOOKUP(Personel!A134,denem!A:AC,9,0)</f>
        <v>26299</v>
      </c>
      <c r="F134" t="s">
        <v>235</v>
      </c>
      <c r="H134" t="s">
        <v>950</v>
      </c>
      <c r="I134" s="6">
        <v>35247</v>
      </c>
      <c r="K134" s="6" t="s">
        <v>656</v>
      </c>
      <c r="L134" t="str">
        <f>PROPER(VLOOKUP(Personel!A134,denem!A:AC,10,0))</f>
        <v xml:space="preserve">Trakya Üniversitesi </v>
      </c>
      <c r="M134" t="str">
        <f>PROPER(VLOOKUP(Personel!A134,denem!A:AC,11,0))</f>
        <v>Sağ. Hiz. Mes. Yo Radyoloji Bölümü</v>
      </c>
      <c r="N134" s="6">
        <f>VLOOKUP(Personel!A134,denem!A:AC,12,0)</f>
        <v>16061994</v>
      </c>
      <c r="O134" t="str">
        <f>PROPER(VLOOKUP(Personel!A134,denem!A:AC,13,0))</f>
        <v/>
      </c>
      <c r="X134" t="s">
        <v>31</v>
      </c>
      <c r="AC134" t="s">
        <v>32</v>
      </c>
    </row>
    <row r="135" spans="1:29" x14ac:dyDescent="0.25">
      <c r="A135" s="8">
        <v>32507226546</v>
      </c>
      <c r="B135" t="s">
        <v>167</v>
      </c>
      <c r="C135" s="7" t="e">
        <f>VLOOKUP(Personel!A135,denem!A:AC,8,0)</f>
        <v>#N/A</v>
      </c>
      <c r="D135" s="6" t="e">
        <f>VLOOKUP(Personel!A135,denem!A:AC,9,0)</f>
        <v>#N/A</v>
      </c>
      <c r="F135" t="s">
        <v>1002</v>
      </c>
      <c r="H135" t="e">
        <v>#N/A</v>
      </c>
      <c r="I135" s="6" t="e">
        <v>#N/A</v>
      </c>
      <c r="K135" s="6" t="e">
        <v>#N/A</v>
      </c>
      <c r="L135" t="e">
        <f>PROPER(VLOOKUP(Personel!A135,denem!A:AC,10,0))</f>
        <v>#N/A</v>
      </c>
      <c r="M135" t="e">
        <f>PROPER(VLOOKUP(Personel!A135,denem!A:AC,11,0))</f>
        <v>#N/A</v>
      </c>
      <c r="N135" s="6" t="e">
        <f>VLOOKUP(Personel!A135,denem!A:AC,12,0)</f>
        <v>#N/A</v>
      </c>
      <c r="O135" t="e">
        <f>PROPER(VLOOKUP(Personel!A135,denem!A:AC,13,0))</f>
        <v>#N/A</v>
      </c>
      <c r="X135" t="s">
        <v>31</v>
      </c>
      <c r="AC135" t="s">
        <v>32</v>
      </c>
    </row>
    <row r="136" spans="1:29" x14ac:dyDescent="0.25">
      <c r="A136" s="8">
        <v>48949606938</v>
      </c>
      <c r="B136" t="s">
        <v>168</v>
      </c>
      <c r="C136" s="7">
        <f>VLOOKUP(Personel!A136,denem!A:AC,8,0)</f>
        <v>0</v>
      </c>
      <c r="D136" s="6">
        <f>VLOOKUP(Personel!A136,denem!A:AC,9,0)</f>
        <v>29223</v>
      </c>
      <c r="F136" t="s">
        <v>1001</v>
      </c>
      <c r="H136" t="e">
        <v>#N/A</v>
      </c>
      <c r="I136" s="6" t="e">
        <v>#N/A</v>
      </c>
      <c r="K136" s="6" t="s">
        <v>660</v>
      </c>
      <c r="L136" t="str">
        <f>PROPER(VLOOKUP(Personel!A136,denem!A:AC,10,0))</f>
        <v>Erciyes Üniversitesi</v>
      </c>
      <c r="M136" t="str">
        <f>PROPER(VLOOKUP(Personel!A136,denem!A:AC,11,0))</f>
        <v>Tıp Fakültesi</v>
      </c>
      <c r="N136" s="6" t="str">
        <f>VLOOKUP(Personel!A136,denem!A:AC,12,0)</f>
        <v>30.06.2004-3336</v>
      </c>
      <c r="O136" t="str">
        <f>PROPER(VLOOKUP(Personel!A136,denem!A:AC,13,0))</f>
        <v>336</v>
      </c>
      <c r="X136" t="s">
        <v>31</v>
      </c>
      <c r="AC136" t="s">
        <v>32</v>
      </c>
    </row>
    <row r="137" spans="1:29" x14ac:dyDescent="0.25">
      <c r="A137" s="8">
        <v>10360622910</v>
      </c>
      <c r="B137" t="s">
        <v>169</v>
      </c>
      <c r="C137" s="7">
        <f>VLOOKUP(Personel!A137,denem!A:AC,8,0)</f>
        <v>0</v>
      </c>
      <c r="D137" s="6">
        <f>VLOOKUP(Personel!A137,denem!A:AC,9,0)</f>
        <v>25964</v>
      </c>
      <c r="F137" t="s">
        <v>344</v>
      </c>
      <c r="H137" t="s">
        <v>954</v>
      </c>
      <c r="I137" s="6">
        <v>35065</v>
      </c>
      <c r="K137" s="6" t="s">
        <v>668</v>
      </c>
      <c r="L137" t="str">
        <f>PROPER(VLOOKUP(Personel!A137,denem!A:AC,10,0))</f>
        <v>Trakya Üniversitesi</v>
      </c>
      <c r="M137" t="str">
        <f>PROPER(VLOOKUP(Personel!A137,denem!A:AC,11,0))</f>
        <v>Sağ. Hiz. Mes. Yo Radyoloji Bölümü</v>
      </c>
      <c r="N137" s="6" t="str">
        <f>VLOOKUP(Personel!A137,denem!A:AC,12,0)</f>
        <v>10/09/1992.      583</v>
      </c>
      <c r="O137" t="str">
        <f>PROPER(VLOOKUP(Personel!A137,denem!A:AC,13,0))</f>
        <v>583</v>
      </c>
      <c r="X137" t="s">
        <v>31</v>
      </c>
      <c r="AC137" t="s">
        <v>32</v>
      </c>
    </row>
    <row r="138" spans="1:29" x14ac:dyDescent="0.25">
      <c r="A138" s="8">
        <v>49456246976</v>
      </c>
      <c r="B138" t="s">
        <v>170</v>
      </c>
      <c r="C138" s="7" t="e">
        <f>VLOOKUP(Personel!A138,denem!A:AC,8,0)</f>
        <v>#N/A</v>
      </c>
      <c r="D138" s="6" t="e">
        <f>VLOOKUP(Personel!A138,denem!A:AC,9,0)</f>
        <v>#N/A</v>
      </c>
      <c r="F138" t="s">
        <v>1004</v>
      </c>
      <c r="H138" t="e">
        <v>#N/A</v>
      </c>
      <c r="I138" s="6" t="e">
        <v>#N/A</v>
      </c>
      <c r="K138" s="6" t="e">
        <v>#N/A</v>
      </c>
      <c r="L138" t="e">
        <f>PROPER(VLOOKUP(Personel!A138,denem!A:AC,10,0))</f>
        <v>#N/A</v>
      </c>
      <c r="M138" t="e">
        <f>PROPER(VLOOKUP(Personel!A138,denem!A:AC,11,0))</f>
        <v>#N/A</v>
      </c>
      <c r="N138" s="6" t="e">
        <f>VLOOKUP(Personel!A138,denem!A:AC,12,0)</f>
        <v>#N/A</v>
      </c>
      <c r="O138" t="e">
        <f>PROPER(VLOOKUP(Personel!A138,denem!A:AC,13,0))</f>
        <v>#N/A</v>
      </c>
      <c r="X138" t="s">
        <v>31</v>
      </c>
      <c r="AC138" t="s">
        <v>32</v>
      </c>
    </row>
    <row r="139" spans="1:29" x14ac:dyDescent="0.25">
      <c r="A139" s="8">
        <v>21643799168</v>
      </c>
      <c r="B139" t="s">
        <v>171</v>
      </c>
      <c r="C139" s="7" t="e">
        <f>VLOOKUP(Personel!A139,denem!A:AC,8,0)</f>
        <v>#N/A</v>
      </c>
      <c r="D139" s="6" t="e">
        <f>VLOOKUP(Personel!A139,denem!A:AC,9,0)</f>
        <v>#N/A</v>
      </c>
      <c r="F139" t="s">
        <v>985</v>
      </c>
      <c r="H139" t="e">
        <v>#N/A</v>
      </c>
      <c r="I139" s="6" t="e">
        <v>#N/A</v>
      </c>
      <c r="K139" s="6" t="e">
        <v>#N/A</v>
      </c>
      <c r="L139" t="e">
        <f>PROPER(VLOOKUP(Personel!A139,denem!A:AC,10,0))</f>
        <v>#N/A</v>
      </c>
      <c r="M139" t="e">
        <f>PROPER(VLOOKUP(Personel!A139,denem!A:AC,11,0))</f>
        <v>#N/A</v>
      </c>
      <c r="N139" s="6" t="e">
        <f>VLOOKUP(Personel!A139,denem!A:AC,12,0)</f>
        <v>#N/A</v>
      </c>
      <c r="O139" t="e">
        <f>PROPER(VLOOKUP(Personel!A139,denem!A:AC,13,0))</f>
        <v>#N/A</v>
      </c>
      <c r="X139" t="s">
        <v>31</v>
      </c>
      <c r="AC139" t="s">
        <v>32</v>
      </c>
    </row>
    <row r="140" spans="1:29" x14ac:dyDescent="0.25">
      <c r="A140" s="8">
        <v>60316051776</v>
      </c>
      <c r="B140" t="s">
        <v>172</v>
      </c>
      <c r="C140" s="7" t="e">
        <f>VLOOKUP(Personel!A140,denem!A:AC,8,0)</f>
        <v>#N/A</v>
      </c>
      <c r="D140" s="6" t="e">
        <f>VLOOKUP(Personel!A140,denem!A:AC,9,0)</f>
        <v>#N/A</v>
      </c>
      <c r="F140" t="s">
        <v>985</v>
      </c>
      <c r="H140" t="e">
        <v>#N/A</v>
      </c>
      <c r="I140" s="6" t="e">
        <v>#N/A</v>
      </c>
      <c r="K140" s="6" t="e">
        <v>#N/A</v>
      </c>
      <c r="L140" t="e">
        <f>PROPER(VLOOKUP(Personel!A140,denem!A:AC,10,0))</f>
        <v>#N/A</v>
      </c>
      <c r="M140" t="e">
        <f>PROPER(VLOOKUP(Personel!A140,denem!A:AC,11,0))</f>
        <v>#N/A</v>
      </c>
      <c r="N140" s="6" t="e">
        <f>VLOOKUP(Personel!A140,denem!A:AC,12,0)</f>
        <v>#N/A</v>
      </c>
      <c r="O140" t="e">
        <f>PROPER(VLOOKUP(Personel!A140,denem!A:AC,13,0))</f>
        <v>#N/A</v>
      </c>
      <c r="X140" t="s">
        <v>31</v>
      </c>
      <c r="AC140" t="s">
        <v>32</v>
      </c>
    </row>
    <row r="141" spans="1:29" x14ac:dyDescent="0.25">
      <c r="A141" s="8">
        <v>32042074596</v>
      </c>
      <c r="B141" t="s">
        <v>173</v>
      </c>
      <c r="C141" s="7" t="str">
        <f>VLOOKUP(Personel!A141,denem!A:AC,8,0)</f>
        <v>Bulgaristan</v>
      </c>
      <c r="D141" s="6">
        <f>VLOOKUP(Personel!A141,denem!A:AC,9,0)</f>
        <v>0</v>
      </c>
      <c r="F141" t="s">
        <v>235</v>
      </c>
      <c r="H141" t="s">
        <v>958</v>
      </c>
      <c r="I141" s="6">
        <v>40910</v>
      </c>
      <c r="K141" s="6" t="s">
        <v>678</v>
      </c>
      <c r="L141" t="str">
        <f>PROPER(VLOOKUP(Personel!A141,denem!A:AC,10,0))</f>
        <v xml:space="preserve">İstanbul Üniversitesi </v>
      </c>
      <c r="M141" t="str">
        <f>PROPER(VLOOKUP(Personel!A141,denem!A:AC,11,0))</f>
        <v>Sağ. Hiz. Mes. Yo Radyoloji Bölümü</v>
      </c>
      <c r="N141" s="6" t="str">
        <f>VLOOKUP(Personel!A141,denem!A:AC,12,0)</f>
        <v>16.05.2003 - 537</v>
      </c>
      <c r="O141" t="str">
        <f>PROPER(VLOOKUP(Personel!A141,denem!A:AC,13,0))</f>
        <v>537</v>
      </c>
      <c r="X141" t="s">
        <v>31</v>
      </c>
      <c r="AC141" t="s">
        <v>32</v>
      </c>
    </row>
    <row r="142" spans="1:29" x14ac:dyDescent="0.25">
      <c r="A142" s="8">
        <v>99961505396</v>
      </c>
      <c r="B142" t="s">
        <v>174</v>
      </c>
      <c r="C142" s="7" t="str">
        <f>VLOOKUP(Personel!A142,denem!A:AC,8,0)</f>
        <v>Azerbaycan</v>
      </c>
      <c r="D142" s="6">
        <f>VLOOKUP(Personel!A142,denem!A:AC,9,0)</f>
        <v>35788</v>
      </c>
      <c r="F142" t="s">
        <v>990</v>
      </c>
      <c r="H142" t="e">
        <v>#N/A</v>
      </c>
      <c r="I142" s="6" t="e">
        <v>#N/A</v>
      </c>
      <c r="K142" s="6" t="s">
        <v>682</v>
      </c>
      <c r="L142" t="str">
        <f>PROPER(VLOOKUP(Personel!A142,denem!A:AC,10,0))</f>
        <v>İstanbul  Üniversitesi Cerrahpaşa</v>
      </c>
      <c r="M142" t="str">
        <f>PROPER(VLOOKUP(Personel!A142,denem!A:AC,11,0))</f>
        <v xml:space="preserve">Cerrahpaşa Tıp Fakültesi </v>
      </c>
      <c r="N142" s="6" t="str">
        <f>VLOOKUP(Personel!A142,denem!A:AC,12,0)</f>
        <v>01.10.2021 Cİ-110</v>
      </c>
      <c r="O142" t="str">
        <f>PROPER(VLOOKUP(Personel!A142,denem!A:AC,13,0))</f>
        <v>Ci-110</v>
      </c>
      <c r="X142" t="s">
        <v>31</v>
      </c>
      <c r="AC142" t="s">
        <v>32</v>
      </c>
    </row>
    <row r="143" spans="1:29" x14ac:dyDescent="0.25">
      <c r="A143" s="8">
        <v>16889511896</v>
      </c>
      <c r="B143" t="s">
        <v>175</v>
      </c>
      <c r="C143" s="7" t="e">
        <f>VLOOKUP(Personel!A143,denem!A:AC,8,0)</f>
        <v>#N/A</v>
      </c>
      <c r="D143" s="6" t="e">
        <f>VLOOKUP(Personel!A143,denem!A:AC,9,0)</f>
        <v>#N/A</v>
      </c>
      <c r="F143" t="s">
        <v>303</v>
      </c>
      <c r="H143" t="e">
        <v>#N/A</v>
      </c>
      <c r="I143" s="6" t="e">
        <v>#N/A</v>
      </c>
      <c r="K143" s="6" t="e">
        <v>#N/A</v>
      </c>
      <c r="L143" t="e">
        <f>PROPER(VLOOKUP(Personel!A143,denem!A:AC,10,0))</f>
        <v>#N/A</v>
      </c>
      <c r="M143" t="e">
        <f>PROPER(VLOOKUP(Personel!A143,denem!A:AC,11,0))</f>
        <v>#N/A</v>
      </c>
      <c r="N143" s="6" t="e">
        <f>VLOOKUP(Personel!A143,denem!A:AC,12,0)</f>
        <v>#N/A</v>
      </c>
      <c r="O143" t="e">
        <f>PROPER(VLOOKUP(Personel!A143,denem!A:AC,13,0))</f>
        <v>#N/A</v>
      </c>
      <c r="X143" t="s">
        <v>31</v>
      </c>
      <c r="AC143" t="s">
        <v>32</v>
      </c>
    </row>
    <row r="144" spans="1:29" x14ac:dyDescent="0.25">
      <c r="A144" s="8">
        <v>14453946860</v>
      </c>
      <c r="B144" t="s">
        <v>176</v>
      </c>
      <c r="C144" s="7" t="e">
        <f>VLOOKUP(Personel!A144,denem!A:AC,8,0)</f>
        <v>#N/A</v>
      </c>
      <c r="D144" s="6" t="e">
        <f>VLOOKUP(Personel!A144,denem!A:AC,9,0)</f>
        <v>#N/A</v>
      </c>
      <c r="F144" t="s">
        <v>1005</v>
      </c>
      <c r="H144" t="e">
        <v>#N/A</v>
      </c>
      <c r="I144" s="6" t="e">
        <v>#N/A</v>
      </c>
      <c r="K144" s="6" t="e">
        <v>#N/A</v>
      </c>
      <c r="L144" t="e">
        <f>PROPER(VLOOKUP(Personel!A144,denem!A:AC,10,0))</f>
        <v>#N/A</v>
      </c>
      <c r="M144" t="e">
        <f>PROPER(VLOOKUP(Personel!A144,denem!A:AC,11,0))</f>
        <v>#N/A</v>
      </c>
      <c r="N144" s="6" t="e">
        <f>VLOOKUP(Personel!A144,denem!A:AC,12,0)</f>
        <v>#N/A</v>
      </c>
      <c r="O144" t="e">
        <f>PROPER(VLOOKUP(Personel!A144,denem!A:AC,13,0))</f>
        <v>#N/A</v>
      </c>
      <c r="X144" t="s">
        <v>31</v>
      </c>
      <c r="AC144" t="s">
        <v>32</v>
      </c>
    </row>
    <row r="145" spans="1:29" x14ac:dyDescent="0.25">
      <c r="A145" s="8">
        <v>38447209366</v>
      </c>
      <c r="B145" t="s">
        <v>177</v>
      </c>
      <c r="C145" s="7">
        <f>VLOOKUP(Personel!A145,denem!A:AC,8,0)</f>
        <v>0</v>
      </c>
      <c r="D145" s="6">
        <f>VLOOKUP(Personel!A145,denem!A:AC,9,0)</f>
        <v>32242</v>
      </c>
      <c r="F145" t="s">
        <v>235</v>
      </c>
      <c r="H145" t="s">
        <v>961</v>
      </c>
      <c r="I145" s="6">
        <v>41562</v>
      </c>
      <c r="K145" s="6" t="s">
        <v>689</v>
      </c>
      <c r="L145" t="str">
        <f>PROPER(VLOOKUP(Personel!A145,denem!A:AC,10,0))</f>
        <v>Van Yüzüncüyıl Üniversitesi</v>
      </c>
      <c r="M145" t="str">
        <f>PROPER(VLOOKUP(Personel!A145,denem!A:AC,11,0))</f>
        <v>Sağ. Hiz. Mes. Yo Radyoloji Bölümü</v>
      </c>
      <c r="N145" s="6" t="str">
        <f>VLOOKUP(Personel!A145,denem!A:AC,12,0)</f>
        <v>07:04/2012.        No. 291</v>
      </c>
      <c r="O145" t="str">
        <f>PROPER(VLOOKUP(Personel!A145,denem!A:AC,13,0))</f>
        <v>291</v>
      </c>
      <c r="X145" t="s">
        <v>31</v>
      </c>
      <c r="AC145" t="s">
        <v>32</v>
      </c>
    </row>
    <row r="146" spans="1:29" x14ac:dyDescent="0.25">
      <c r="A146" s="8">
        <v>42517767694</v>
      </c>
      <c r="B146" t="s">
        <v>178</v>
      </c>
      <c r="C146" s="7" t="str">
        <f>VLOOKUP(Personel!A146,denem!A:AC,8,0)</f>
        <v>İstanbul</v>
      </c>
      <c r="D146" s="6">
        <f>VLOOKUP(Personel!A146,denem!A:AC,9,0)</f>
        <v>34864</v>
      </c>
      <c r="F146" t="s">
        <v>995</v>
      </c>
      <c r="H146" t="s">
        <v>963</v>
      </c>
      <c r="I146" s="6">
        <v>44249</v>
      </c>
      <c r="K146" s="6" t="s">
        <v>701</v>
      </c>
      <c r="L146" t="str">
        <f>PROPER(VLOOKUP(Personel!A146,denem!A:AC,10,0))</f>
        <v>Haydarpaşa Bülent Akarcalı Sağlık Meslek Lisesi</v>
      </c>
      <c r="M146" t="str">
        <f>PROPER(VLOOKUP(Personel!A146,denem!A:AC,11,0))</f>
        <v/>
      </c>
      <c r="N146" s="6" t="str">
        <f>VLOOKUP(Personel!A146,denem!A:AC,12,0)</f>
        <v>14.06.2013/ 2149</v>
      </c>
      <c r="O146" t="str">
        <f>PROPER(VLOOKUP(Personel!A146,denem!A:AC,13,0))</f>
        <v>2149</v>
      </c>
      <c r="X146" t="s">
        <v>31</v>
      </c>
      <c r="AC146" t="s">
        <v>32</v>
      </c>
    </row>
    <row r="147" spans="1:29" x14ac:dyDescent="0.25">
      <c r="A147" s="8">
        <v>21554483798</v>
      </c>
      <c r="B147" t="s">
        <v>179</v>
      </c>
      <c r="C147" s="7" t="e">
        <f>VLOOKUP(Personel!A147,denem!A:AC,8,0)</f>
        <v>#N/A</v>
      </c>
      <c r="D147" s="6" t="e">
        <f>VLOOKUP(Personel!A147,denem!A:AC,9,0)</f>
        <v>#N/A</v>
      </c>
      <c r="F147" t="s">
        <v>993</v>
      </c>
      <c r="H147" t="e">
        <v>#N/A</v>
      </c>
      <c r="I147" s="6" t="e">
        <v>#N/A</v>
      </c>
      <c r="K147" s="6" t="e">
        <v>#N/A</v>
      </c>
      <c r="L147" t="e">
        <f>PROPER(VLOOKUP(Personel!A147,denem!A:AC,10,0))</f>
        <v>#N/A</v>
      </c>
      <c r="M147" t="e">
        <f>PROPER(VLOOKUP(Personel!A147,denem!A:AC,11,0))</f>
        <v>#N/A</v>
      </c>
      <c r="N147" s="6" t="e">
        <f>VLOOKUP(Personel!A147,denem!A:AC,12,0)</f>
        <v>#N/A</v>
      </c>
      <c r="O147" t="e">
        <f>PROPER(VLOOKUP(Personel!A147,denem!A:AC,13,0))</f>
        <v>#N/A</v>
      </c>
      <c r="X147" t="s">
        <v>31</v>
      </c>
      <c r="AC147" t="s">
        <v>32</v>
      </c>
    </row>
    <row r="148" spans="1:29" x14ac:dyDescent="0.25">
      <c r="A148" s="8">
        <v>58747256396</v>
      </c>
      <c r="B148" t="s">
        <v>180</v>
      </c>
      <c r="C148" s="7" t="str">
        <f>VLOOKUP(Personel!A148,denem!A:AC,8,0)</f>
        <v>Kiziltepe</v>
      </c>
      <c r="D148" s="6">
        <f>VLOOKUP(Personel!A148,denem!A:AC,9,0)</f>
        <v>30479</v>
      </c>
      <c r="F148" t="s">
        <v>235</v>
      </c>
      <c r="H148" t="s">
        <v>966</v>
      </c>
      <c r="I148" s="6">
        <v>41562</v>
      </c>
      <c r="K148" s="6" t="s">
        <v>706</v>
      </c>
      <c r="L148" t="str">
        <f>PROPER(VLOOKUP(Personel!A148,denem!A:AC,10,0))</f>
        <v>Trakya Universitesi</v>
      </c>
      <c r="M148" t="str">
        <f>PROPER(VLOOKUP(Personel!A148,denem!A:AC,11,0))</f>
        <v>Sağ. Hiz. Mes. Yo Radyoloji Bölümü</v>
      </c>
      <c r="N148" s="6" t="str">
        <f>VLOOKUP(Personel!A148,denem!A:AC,12,0)</f>
        <v>21.08.2007/3388</v>
      </c>
      <c r="O148" t="str">
        <f>PROPER(VLOOKUP(Personel!A148,denem!A:AC,13,0))</f>
        <v>3388</v>
      </c>
      <c r="X148" t="s">
        <v>31</v>
      </c>
      <c r="AC148" t="s">
        <v>32</v>
      </c>
    </row>
    <row r="149" spans="1:29" x14ac:dyDescent="0.25">
      <c r="A149" s="8">
        <v>52249634904</v>
      </c>
      <c r="B149" t="s">
        <v>181</v>
      </c>
      <c r="C149" s="7" t="e">
        <f>VLOOKUP(Personel!A149,denem!A:AC,8,0)</f>
        <v>#N/A</v>
      </c>
      <c r="D149" s="6" t="e">
        <f>VLOOKUP(Personel!A149,denem!A:AC,9,0)</f>
        <v>#N/A</v>
      </c>
      <c r="F149" t="s">
        <v>986</v>
      </c>
      <c r="H149" t="e">
        <v>#N/A</v>
      </c>
      <c r="I149" s="6" t="e">
        <v>#N/A</v>
      </c>
      <c r="K149" s="6" t="e">
        <v>#N/A</v>
      </c>
      <c r="L149" t="e">
        <f>PROPER(VLOOKUP(Personel!A149,denem!A:AC,10,0))</f>
        <v>#N/A</v>
      </c>
      <c r="M149" t="e">
        <f>PROPER(VLOOKUP(Personel!A149,denem!A:AC,11,0))</f>
        <v>#N/A</v>
      </c>
      <c r="N149" s="6" t="e">
        <f>VLOOKUP(Personel!A149,denem!A:AC,12,0)</f>
        <v>#N/A</v>
      </c>
      <c r="O149" t="e">
        <f>PROPER(VLOOKUP(Personel!A149,denem!A:AC,13,0))</f>
        <v>#N/A</v>
      </c>
      <c r="X149" t="s">
        <v>31</v>
      </c>
      <c r="AC149" t="s">
        <v>32</v>
      </c>
    </row>
    <row r="150" spans="1:29" x14ac:dyDescent="0.25">
      <c r="A150" s="8">
        <v>24472169522</v>
      </c>
      <c r="B150" t="s">
        <v>182</v>
      </c>
      <c r="C150" s="7" t="e">
        <f>VLOOKUP(Personel!A150,denem!A:AC,8,0)</f>
        <v>#N/A</v>
      </c>
      <c r="D150" s="6" t="e">
        <f>VLOOKUP(Personel!A150,denem!A:AC,9,0)</f>
        <v>#N/A</v>
      </c>
      <c r="F150" t="s">
        <v>408</v>
      </c>
      <c r="H150" t="e">
        <v>#N/A</v>
      </c>
      <c r="I150" s="6" t="e">
        <v>#N/A</v>
      </c>
      <c r="K150" s="6" t="e">
        <v>#N/A</v>
      </c>
      <c r="L150" t="e">
        <f>PROPER(VLOOKUP(Personel!A150,denem!A:AC,10,0))</f>
        <v>#N/A</v>
      </c>
      <c r="M150" t="e">
        <f>PROPER(VLOOKUP(Personel!A150,denem!A:AC,11,0))</f>
        <v>#N/A</v>
      </c>
      <c r="N150" s="6" t="e">
        <f>VLOOKUP(Personel!A150,denem!A:AC,12,0)</f>
        <v>#N/A</v>
      </c>
      <c r="O150" t="e">
        <f>PROPER(VLOOKUP(Personel!A150,denem!A:AC,13,0))</f>
        <v>#N/A</v>
      </c>
      <c r="X150" t="s">
        <v>31</v>
      </c>
      <c r="AC150" t="s">
        <v>32</v>
      </c>
    </row>
    <row r="151" spans="1:29" x14ac:dyDescent="0.25">
      <c r="A151" s="8">
        <v>98638061876</v>
      </c>
      <c r="B151" t="s">
        <v>183</v>
      </c>
      <c r="C151" s="7" t="e">
        <f>VLOOKUP(Personel!A151,denem!A:AC,8,0)</f>
        <v>#N/A</v>
      </c>
      <c r="D151" s="6" t="e">
        <f>VLOOKUP(Personel!A151,denem!A:AC,9,0)</f>
        <v>#N/A</v>
      </c>
      <c r="F151" t="s">
        <v>303</v>
      </c>
      <c r="H151" t="e">
        <v>#N/A</v>
      </c>
      <c r="I151" s="6" t="e">
        <v>#N/A</v>
      </c>
      <c r="K151" s="6" t="e">
        <v>#N/A</v>
      </c>
      <c r="L151" t="e">
        <f>PROPER(VLOOKUP(Personel!A151,denem!A:AC,10,0))</f>
        <v>#N/A</v>
      </c>
      <c r="M151" t="e">
        <f>PROPER(VLOOKUP(Personel!A151,denem!A:AC,11,0))</f>
        <v>#N/A</v>
      </c>
      <c r="N151" s="6" t="e">
        <f>VLOOKUP(Personel!A151,denem!A:AC,12,0)</f>
        <v>#N/A</v>
      </c>
      <c r="O151" t="e">
        <f>PROPER(VLOOKUP(Personel!A151,denem!A:AC,13,0))</f>
        <v>#N/A</v>
      </c>
      <c r="X151" t="s">
        <v>31</v>
      </c>
      <c r="AC151" t="s">
        <v>32</v>
      </c>
    </row>
    <row r="152" spans="1:29" x14ac:dyDescent="0.25">
      <c r="A152" s="8">
        <v>23144260260</v>
      </c>
      <c r="B152" t="s">
        <v>184</v>
      </c>
      <c r="C152" s="7" t="e">
        <f>VLOOKUP(Personel!A152,denem!A:AC,8,0)</f>
        <v>#N/A</v>
      </c>
      <c r="D152" s="6" t="e">
        <f>VLOOKUP(Personel!A152,denem!A:AC,9,0)</f>
        <v>#N/A</v>
      </c>
      <c r="F152" t="s">
        <v>985</v>
      </c>
      <c r="H152" t="e">
        <v>#N/A</v>
      </c>
      <c r="I152" s="6" t="e">
        <v>#N/A</v>
      </c>
      <c r="K152" s="6" t="e">
        <v>#N/A</v>
      </c>
      <c r="L152" t="e">
        <f>PROPER(VLOOKUP(Personel!A152,denem!A:AC,10,0))</f>
        <v>#N/A</v>
      </c>
      <c r="M152" t="e">
        <f>PROPER(VLOOKUP(Personel!A152,denem!A:AC,11,0))</f>
        <v>#N/A</v>
      </c>
      <c r="N152" s="6" t="e">
        <f>VLOOKUP(Personel!A152,denem!A:AC,12,0)</f>
        <v>#N/A</v>
      </c>
      <c r="O152" t="e">
        <f>PROPER(VLOOKUP(Personel!A152,denem!A:AC,13,0))</f>
        <v>#N/A</v>
      </c>
      <c r="X152" t="s">
        <v>31</v>
      </c>
      <c r="AC152" t="s">
        <v>32</v>
      </c>
    </row>
    <row r="153" spans="1:29" x14ac:dyDescent="0.25">
      <c r="A153" s="8">
        <v>45535056238</v>
      </c>
      <c r="B153" t="s">
        <v>185</v>
      </c>
      <c r="C153" s="7" t="e">
        <f>VLOOKUP(Personel!A153,denem!A:AC,8,0)</f>
        <v>#N/A</v>
      </c>
      <c r="D153" s="6" t="e">
        <f>VLOOKUP(Personel!A153,denem!A:AC,9,0)</f>
        <v>#N/A</v>
      </c>
      <c r="F153" t="s">
        <v>985</v>
      </c>
      <c r="H153" t="e">
        <v>#N/A</v>
      </c>
      <c r="I153" s="6" t="e">
        <v>#N/A</v>
      </c>
      <c r="K153" s="6" t="e">
        <v>#N/A</v>
      </c>
      <c r="L153" t="e">
        <f>PROPER(VLOOKUP(Personel!A153,denem!A:AC,10,0))</f>
        <v>#N/A</v>
      </c>
      <c r="M153" t="e">
        <f>PROPER(VLOOKUP(Personel!A153,denem!A:AC,11,0))</f>
        <v>#N/A</v>
      </c>
      <c r="N153" s="6" t="e">
        <f>VLOOKUP(Personel!A153,denem!A:AC,12,0)</f>
        <v>#N/A</v>
      </c>
      <c r="O153" t="e">
        <f>PROPER(VLOOKUP(Personel!A153,denem!A:AC,13,0))</f>
        <v>#N/A</v>
      </c>
      <c r="X153" t="s">
        <v>31</v>
      </c>
      <c r="AC153" t="s">
        <v>32</v>
      </c>
    </row>
    <row r="154" spans="1:29" x14ac:dyDescent="0.25">
      <c r="A154" s="8">
        <v>12251383320</v>
      </c>
      <c r="B154" t="s">
        <v>186</v>
      </c>
      <c r="C154" s="7" t="e">
        <f>VLOOKUP(Personel!A154,denem!A:AC,8,0)</f>
        <v>#N/A</v>
      </c>
      <c r="D154" s="6" t="e">
        <f>VLOOKUP(Personel!A154,denem!A:AC,9,0)</f>
        <v>#N/A</v>
      </c>
      <c r="F154" t="s">
        <v>303</v>
      </c>
      <c r="H154" t="e">
        <v>#N/A</v>
      </c>
      <c r="I154" s="6" t="e">
        <v>#N/A</v>
      </c>
      <c r="K154" s="6" t="e">
        <v>#N/A</v>
      </c>
      <c r="L154" t="e">
        <f>PROPER(VLOOKUP(Personel!A154,denem!A:AC,10,0))</f>
        <v>#N/A</v>
      </c>
      <c r="M154" t="e">
        <f>PROPER(VLOOKUP(Personel!A154,denem!A:AC,11,0))</f>
        <v>#N/A</v>
      </c>
      <c r="N154" s="6" t="e">
        <f>VLOOKUP(Personel!A154,denem!A:AC,12,0)</f>
        <v>#N/A</v>
      </c>
      <c r="O154" t="e">
        <f>PROPER(VLOOKUP(Personel!A154,denem!A:AC,13,0))</f>
        <v>#N/A</v>
      </c>
      <c r="X154" t="s">
        <v>31</v>
      </c>
      <c r="AC154" t="s">
        <v>32</v>
      </c>
    </row>
    <row r="155" spans="1:29" x14ac:dyDescent="0.25">
      <c r="A155" s="8">
        <v>56374246872</v>
      </c>
      <c r="B155" t="s">
        <v>187</v>
      </c>
      <c r="C155" s="7" t="str">
        <f>VLOOKUP(Personel!A155,denem!A:AC,8,0)</f>
        <v>Malatya</v>
      </c>
      <c r="D155" s="6">
        <f>VLOOKUP(Personel!A155,denem!A:AC,9,0)</f>
        <v>34904</v>
      </c>
      <c r="F155" t="s">
        <v>303</v>
      </c>
      <c r="H155" t="e">
        <v>#N/A</v>
      </c>
      <c r="I155" s="6" t="e">
        <v>#N/A</v>
      </c>
      <c r="K155" s="6" t="s">
        <v>717</v>
      </c>
      <c r="L155" t="str">
        <f>PROPER(VLOOKUP(Personel!A155,denem!A:AC,10,0))</f>
        <v xml:space="preserve">İstanbul Üniversitesi </v>
      </c>
      <c r="M155" t="str">
        <f>PROPER(VLOOKUP(Personel!A155,denem!A:AC,11,0))</f>
        <v>İstanbul Tıp Fakültesi</v>
      </c>
      <c r="N155" s="6" t="str">
        <f>VLOOKUP(Personel!A155,denem!A:AC,12,0)</f>
        <v>22.07.2019. Tes no 216286</v>
      </c>
      <c r="O155" t="str">
        <f>PROPER(VLOOKUP(Personel!A155,denem!A:AC,13,0))</f>
        <v>216286</v>
      </c>
      <c r="X155" t="s">
        <v>31</v>
      </c>
      <c r="AC155" t="s">
        <v>32</v>
      </c>
    </row>
    <row r="156" spans="1:29" x14ac:dyDescent="0.25">
      <c r="A156" s="8">
        <v>28934082220</v>
      </c>
      <c r="B156" t="s">
        <v>188</v>
      </c>
      <c r="C156" s="7" t="e">
        <f>VLOOKUP(Personel!A156,denem!A:AC,8,0)</f>
        <v>#N/A</v>
      </c>
      <c r="D156" s="6" t="e">
        <f>VLOOKUP(Personel!A156,denem!A:AC,9,0)</f>
        <v>#N/A</v>
      </c>
      <c r="F156" t="s">
        <v>997</v>
      </c>
      <c r="H156" t="e">
        <v>#N/A</v>
      </c>
      <c r="I156" s="6" t="e">
        <v>#N/A</v>
      </c>
      <c r="K156" s="6" t="e">
        <v>#N/A</v>
      </c>
      <c r="L156" t="e">
        <f>PROPER(VLOOKUP(Personel!A156,denem!A:AC,10,0))</f>
        <v>#N/A</v>
      </c>
      <c r="M156" t="e">
        <f>PROPER(VLOOKUP(Personel!A156,denem!A:AC,11,0))</f>
        <v>#N/A</v>
      </c>
      <c r="N156" s="6" t="e">
        <f>VLOOKUP(Personel!A156,denem!A:AC,12,0)</f>
        <v>#N/A</v>
      </c>
      <c r="O156" t="e">
        <f>PROPER(VLOOKUP(Personel!A156,denem!A:AC,13,0))</f>
        <v>#N/A</v>
      </c>
      <c r="X156" t="s">
        <v>31</v>
      </c>
      <c r="AC156" t="s">
        <v>32</v>
      </c>
    </row>
    <row r="157" spans="1:29" x14ac:dyDescent="0.25">
      <c r="A157" s="8">
        <v>17204803498</v>
      </c>
      <c r="B157" t="s">
        <v>189</v>
      </c>
      <c r="C157" s="7" t="e">
        <f>VLOOKUP(Personel!A157,denem!A:AC,8,0)</f>
        <v>#N/A</v>
      </c>
      <c r="D157" s="6" t="e">
        <f>VLOOKUP(Personel!A157,denem!A:AC,9,0)</f>
        <v>#N/A</v>
      </c>
      <c r="F157" t="s">
        <v>986</v>
      </c>
      <c r="H157" t="e">
        <v>#N/A</v>
      </c>
      <c r="I157" s="6" t="e">
        <v>#N/A</v>
      </c>
      <c r="K157" s="6" t="e">
        <v>#N/A</v>
      </c>
      <c r="L157" t="e">
        <f>PROPER(VLOOKUP(Personel!A157,denem!A:AC,10,0))</f>
        <v>#N/A</v>
      </c>
      <c r="M157" t="e">
        <f>PROPER(VLOOKUP(Personel!A157,denem!A:AC,11,0))</f>
        <v>#N/A</v>
      </c>
      <c r="N157" s="6" t="e">
        <f>VLOOKUP(Personel!A157,denem!A:AC,12,0)</f>
        <v>#N/A</v>
      </c>
      <c r="O157" t="e">
        <f>PROPER(VLOOKUP(Personel!A157,denem!A:AC,13,0))</f>
        <v>#N/A</v>
      </c>
      <c r="X157" t="s">
        <v>31</v>
      </c>
      <c r="AC157" t="s">
        <v>32</v>
      </c>
    </row>
    <row r="158" spans="1:29" x14ac:dyDescent="0.25">
      <c r="A158" s="8">
        <v>10298421838</v>
      </c>
      <c r="B158" t="s">
        <v>190</v>
      </c>
      <c r="C158" s="7" t="str">
        <f>VLOOKUP(Personel!A158,denem!A:AC,8,0)</f>
        <v>Ankara</v>
      </c>
      <c r="D158" s="6">
        <f>VLOOKUP(Personel!A158,denem!A:AC,9,0)</f>
        <v>35508</v>
      </c>
      <c r="F158" t="s">
        <v>446</v>
      </c>
      <c r="H158" t="s">
        <v>971</v>
      </c>
      <c r="I158" s="6">
        <v>44060</v>
      </c>
      <c r="K158" s="6" t="s">
        <v>720</v>
      </c>
      <c r="L158" t="str">
        <f>PROPER(VLOOKUP(Personel!A158,denem!A:AC,10,0))</f>
        <v>Atatürk Mesleki Ve Teknik Anadolu Lisesi</v>
      </c>
      <c r="M158" t="str">
        <f>PROPER(VLOOKUP(Personel!A158,denem!A:AC,11,0))</f>
        <v/>
      </c>
      <c r="N158" s="6" t="str">
        <f>VLOOKUP(Personel!A158,denem!A:AC,12,0)</f>
        <v>12/06/2015 169</v>
      </c>
      <c r="O158" t="str">
        <f>PROPER(VLOOKUP(Personel!A158,denem!A:AC,13,0))</f>
        <v>169</v>
      </c>
      <c r="X158" t="s">
        <v>31</v>
      </c>
      <c r="AC158" t="s">
        <v>32</v>
      </c>
    </row>
    <row r="159" spans="1:29" x14ac:dyDescent="0.25">
      <c r="A159" s="8">
        <v>28433119304</v>
      </c>
      <c r="B159" t="s">
        <v>191</v>
      </c>
      <c r="C159" s="7" t="str">
        <f>VLOOKUP(Personel!A159,denem!A:AC,8,0)</f>
        <v>Beyşehir</v>
      </c>
      <c r="D159" s="6">
        <f>VLOOKUP(Personel!A159,denem!A:AC,9,0)</f>
        <v>29952</v>
      </c>
      <c r="F159" t="s">
        <v>235</v>
      </c>
      <c r="H159" t="s">
        <v>973</v>
      </c>
      <c r="I159" s="6">
        <v>40148</v>
      </c>
      <c r="K159" s="6" t="s">
        <v>726</v>
      </c>
      <c r="L159" t="str">
        <f>PROPER(VLOOKUP(Personel!A159,denem!A:AC,10,0))</f>
        <v>Karadeniz Teknik Üniversitesi</v>
      </c>
      <c r="M159" t="str">
        <f>PROPER(VLOOKUP(Personel!A159,denem!A:AC,11,0))</f>
        <v>Sağ. Hiz. Mes. Yo Radyoloji Bölümü</v>
      </c>
      <c r="N159" s="6" t="str">
        <f>VLOOKUP(Personel!A159,denem!A:AC,12,0)</f>
        <v>15.07.2005/017137</v>
      </c>
      <c r="O159" t="str">
        <f>PROPER(VLOOKUP(Personel!A159,denem!A:AC,13,0))</f>
        <v>17137</v>
      </c>
      <c r="X159" t="s">
        <v>31</v>
      </c>
      <c r="AC159" t="s">
        <v>32</v>
      </c>
    </row>
    <row r="160" spans="1:29" x14ac:dyDescent="0.25">
      <c r="A160" s="8">
        <v>16118591866</v>
      </c>
      <c r="B160" t="s">
        <v>192</v>
      </c>
      <c r="C160" s="7" t="str">
        <f>VLOOKUP(Personel!A160,denem!A:AC,8,0)</f>
        <v>İstanbul</v>
      </c>
      <c r="D160" s="6">
        <f>VLOOKUP(Personel!A160,denem!A:AC,9,0)</f>
        <v>25769</v>
      </c>
      <c r="F160" t="s">
        <v>314</v>
      </c>
      <c r="H160" t="e">
        <v>#N/A</v>
      </c>
      <c r="I160" s="6" t="e">
        <v>#N/A</v>
      </c>
      <c r="K160" s="6" t="s">
        <v>731</v>
      </c>
      <c r="L160" t="str">
        <f>PROPER(VLOOKUP(Personel!A160,denem!A:AC,10,0))</f>
        <v xml:space="preserve">İstanbul Üniversitesi </v>
      </c>
      <c r="M160" t="str">
        <f>PROPER(VLOOKUP(Personel!A160,denem!A:AC,11,0))</f>
        <v>Cerrahpaşa Tıp Fakültesi</v>
      </c>
      <c r="N160" s="6" t="str">
        <f>VLOOKUP(Personel!A160,denem!A:AC,12,0)</f>
        <v>19/10/1994 - Cİ-080</v>
      </c>
      <c r="O160" t="str">
        <f>PROPER(VLOOKUP(Personel!A160,denem!A:AC,13,0))</f>
        <v>Ci-080</v>
      </c>
      <c r="X160" t="s">
        <v>31</v>
      </c>
      <c r="AC160" t="s">
        <v>32</v>
      </c>
    </row>
    <row r="161" spans="1:29" x14ac:dyDescent="0.25">
      <c r="A161" s="8">
        <v>13887042902</v>
      </c>
      <c r="B161" t="s">
        <v>193</v>
      </c>
      <c r="C161" s="7" t="str">
        <f>VLOOKUP(Personel!A161,denem!A:AC,8,0)</f>
        <v>Cizre</v>
      </c>
      <c r="D161" s="6">
        <f>VLOOKUP(Personel!A161,denem!A:AC,9,0)</f>
        <v>33350</v>
      </c>
      <c r="F161" t="s">
        <v>985</v>
      </c>
      <c r="H161" t="e">
        <v>#N/A</v>
      </c>
      <c r="I161" s="6" t="e">
        <v>#N/A</v>
      </c>
      <c r="K161" s="6" t="s">
        <v>736</v>
      </c>
      <c r="L161" t="str">
        <f>PROPER(VLOOKUP(Personel!A161,denem!A:AC,10,0))</f>
        <v>Cerrahpaşa Tıp Fakültesi</v>
      </c>
      <c r="M161" t="str">
        <f>PROPER(VLOOKUP(Personel!A161,denem!A:AC,11,0))</f>
        <v>Cerrahpaşa Tıp Fakültesi</v>
      </c>
      <c r="N161" s="6" t="str">
        <f>VLOOKUP(Personel!A161,denem!A:AC,12,0)</f>
        <v>07/07/2017 / Cİ-1592</v>
      </c>
      <c r="O161" t="str">
        <f>PROPER(VLOOKUP(Personel!A161,denem!A:AC,13,0))</f>
        <v>Ci-1592</v>
      </c>
      <c r="X161" t="s">
        <v>31</v>
      </c>
      <c r="AC161" t="s">
        <v>32</v>
      </c>
    </row>
    <row r="162" spans="1:29" x14ac:dyDescent="0.25">
      <c r="A162" s="8">
        <v>13865278156</v>
      </c>
      <c r="B162" t="s">
        <v>194</v>
      </c>
      <c r="C162" s="7">
        <f>VLOOKUP(Personel!A162,denem!A:AC,8,0)</f>
        <v>0</v>
      </c>
      <c r="D162" s="6">
        <f>VLOOKUP(Personel!A162,denem!A:AC,9,0)</f>
        <v>26257</v>
      </c>
      <c r="F162" t="s">
        <v>235</v>
      </c>
      <c r="H162" t="e">
        <v>#N/A</v>
      </c>
      <c r="I162" s="6" t="e">
        <v>#N/A</v>
      </c>
      <c r="K162" s="6" t="s">
        <v>740</v>
      </c>
      <c r="L162" t="str">
        <f>PROPER(VLOOKUP(Personel!A162,denem!A:AC,10,0))</f>
        <v xml:space="preserve">İstanbul Üniversitesi </v>
      </c>
      <c r="M162" t="str">
        <f>PROPER(VLOOKUP(Personel!A162,denem!A:AC,11,0))</f>
        <v>Cerrahpaşa Sağ. Hiz. Mes. Yo Radyoloji Bölümü</v>
      </c>
      <c r="N162" s="6" t="str">
        <f>VLOOKUP(Personel!A162,denem!A:AC,12,0)</f>
        <v>31.08.1991-98</v>
      </c>
      <c r="O162" t="str">
        <f>PROPER(VLOOKUP(Personel!A162,denem!A:AC,13,0))</f>
        <v>98</v>
      </c>
      <c r="X162" t="s">
        <v>31</v>
      </c>
      <c r="AC162" t="s">
        <v>32</v>
      </c>
    </row>
    <row r="163" spans="1:29" x14ac:dyDescent="0.25">
      <c r="A163" s="8">
        <v>34882949300</v>
      </c>
      <c r="B163" t="s">
        <v>195</v>
      </c>
      <c r="C163" s="7">
        <f>VLOOKUP(Personel!A163,denem!A:AC,8,0)</f>
        <v>0</v>
      </c>
      <c r="D163" s="6">
        <f>VLOOKUP(Personel!A163,denem!A:AC,9,0)</f>
        <v>29665</v>
      </c>
      <c r="F163" t="s">
        <v>235</v>
      </c>
      <c r="H163" t="s">
        <v>977</v>
      </c>
      <c r="I163" s="6">
        <v>41562</v>
      </c>
      <c r="K163" s="6" t="s">
        <v>744</v>
      </c>
      <c r="L163" t="str">
        <f>PROPER(VLOOKUP(Personel!A163,denem!A:AC,10,0))</f>
        <v xml:space="preserve">İstanbul Üniversitesi </v>
      </c>
      <c r="M163" t="str">
        <f>PROPER(VLOOKUP(Personel!A163,denem!A:AC,11,0))</f>
        <v>Cerrahpaşa Sağ. Hiz. Mes. Yo Radyoloji Bölümü</v>
      </c>
      <c r="N163" s="6" t="str">
        <f>VLOOKUP(Personel!A163,denem!A:AC,12,0)</f>
        <v>17.01.2002 593</v>
      </c>
      <c r="O163" t="str">
        <f>PROPER(VLOOKUP(Personel!A163,denem!A:AC,13,0))</f>
        <v>593</v>
      </c>
      <c r="X163" t="s">
        <v>31</v>
      </c>
      <c r="AC163" t="s">
        <v>32</v>
      </c>
    </row>
    <row r="164" spans="1:29" x14ac:dyDescent="0.25">
      <c r="A164" s="8">
        <v>41704030504</v>
      </c>
      <c r="B164" t="s">
        <v>196</v>
      </c>
      <c r="C164" s="7">
        <f>VLOOKUP(Personel!A164,denem!A:AC,8,0)</f>
        <v>0</v>
      </c>
      <c r="D164" s="6">
        <f>VLOOKUP(Personel!A164,denem!A:AC,9,0)</f>
        <v>35602</v>
      </c>
      <c r="F164" t="s">
        <v>985</v>
      </c>
      <c r="H164" t="e">
        <v>#N/A</v>
      </c>
      <c r="I164" s="6" t="e">
        <v>#N/A</v>
      </c>
      <c r="K164" s="6" t="s">
        <v>757</v>
      </c>
      <c r="L164" t="str">
        <f>PROPER(VLOOKUP(Personel!A164,denem!A:AC,10,0))</f>
        <v>Atatürk Üniverstesi Tıp Fakultesi</v>
      </c>
      <c r="M164" t="str">
        <f>PROPER(VLOOKUP(Personel!A164,denem!A:AC,11,0))</f>
        <v>Tıp Fakültesi</v>
      </c>
      <c r="N164" s="6" t="str">
        <f>VLOOKUP(Personel!A164,denem!A:AC,12,0)</f>
        <v>30.06.2021   89610</v>
      </c>
      <c r="O164" t="str">
        <f>PROPER(VLOOKUP(Personel!A164,denem!A:AC,13,0))</f>
        <v>89610</v>
      </c>
      <c r="X164" t="s">
        <v>31</v>
      </c>
      <c r="AC164" t="s">
        <v>32</v>
      </c>
    </row>
    <row r="165" spans="1:29" x14ac:dyDescent="0.25">
      <c r="A165" s="8">
        <v>28904183094</v>
      </c>
      <c r="B165" t="s">
        <v>197</v>
      </c>
      <c r="C165" s="7" t="str">
        <f>VLOOKUP(Personel!A165,denem!A:AC,8,0)</f>
        <v>Mersin</v>
      </c>
      <c r="D165" s="6">
        <f>VLOOKUP(Personel!A165,denem!A:AC,9,0)</f>
        <v>32436</v>
      </c>
      <c r="F165" t="s">
        <v>235</v>
      </c>
      <c r="H165" t="s">
        <v>979</v>
      </c>
      <c r="I165" s="6">
        <v>40910</v>
      </c>
      <c r="K165" s="6" t="s">
        <v>761</v>
      </c>
      <c r="L165" t="str">
        <f>PROPER(VLOOKUP(Personel!A165,denem!A:AC,10,0))</f>
        <v>İstanbul Bilim Üniversitesi</v>
      </c>
      <c r="M165" t="str">
        <f>PROPER(VLOOKUP(Personel!A165,denem!A:AC,11,0))</f>
        <v>Sağ. Hiz. Mes. Yo Tıbbi Görüntüleme Teknikeri</v>
      </c>
      <c r="N165" s="6" t="str">
        <f>VLOOKUP(Personel!A165,denem!A:AC,12,0)</f>
        <v>29.07.2009 - 072</v>
      </c>
      <c r="O165" t="str">
        <f>PROPER(VLOOKUP(Personel!A165,denem!A:AC,13,0))</f>
        <v>72</v>
      </c>
      <c r="X165" t="s">
        <v>31</v>
      </c>
      <c r="AC165" t="s">
        <v>32</v>
      </c>
    </row>
    <row r="166" spans="1:29" x14ac:dyDescent="0.25">
      <c r="A166" s="8">
        <v>41548953762</v>
      </c>
      <c r="B166" t="s">
        <v>198</v>
      </c>
      <c r="C166" s="7" t="e">
        <f>VLOOKUP(Personel!A166,denem!A:AC,8,0)</f>
        <v>#N/A</v>
      </c>
      <c r="D166" s="6" t="e">
        <f>VLOOKUP(Personel!A166,denem!A:AC,9,0)</f>
        <v>#N/A</v>
      </c>
      <c r="F166" t="s">
        <v>986</v>
      </c>
      <c r="H166" t="e">
        <v>#N/A</v>
      </c>
      <c r="I166" s="6" t="e">
        <v>#N/A</v>
      </c>
      <c r="K166" s="6" t="e">
        <v>#N/A</v>
      </c>
      <c r="L166" t="e">
        <f>PROPER(VLOOKUP(Personel!A166,denem!A:AC,10,0))</f>
        <v>#N/A</v>
      </c>
      <c r="M166" t="e">
        <f>PROPER(VLOOKUP(Personel!A166,denem!A:AC,11,0))</f>
        <v>#N/A</v>
      </c>
      <c r="N166" s="6" t="e">
        <f>VLOOKUP(Personel!A166,denem!A:AC,12,0)</f>
        <v>#N/A</v>
      </c>
      <c r="O166" t="e">
        <f>PROPER(VLOOKUP(Personel!A166,denem!A:AC,13,0))</f>
        <v>#N/A</v>
      </c>
      <c r="X166" t="s">
        <v>31</v>
      </c>
      <c r="AC166" t="s">
        <v>32</v>
      </c>
    </row>
    <row r="167" spans="1:29" x14ac:dyDescent="0.25">
      <c r="A167" s="8">
        <v>43342852876</v>
      </c>
      <c r="B167" t="s">
        <v>199</v>
      </c>
      <c r="C167" s="7" t="str">
        <f>VLOOKUP(Personel!A167,denem!A:AC,8,0)</f>
        <v>Rize</v>
      </c>
      <c r="D167" s="6">
        <f>VLOOKUP(Personel!A167,denem!A:AC,9,0)</f>
        <v>31818</v>
      </c>
      <c r="F167" t="s">
        <v>235</v>
      </c>
      <c r="H167" t="e">
        <v>#N/A</v>
      </c>
      <c r="I167" s="6" t="e">
        <v>#N/A</v>
      </c>
      <c r="K167" s="6" t="s">
        <v>766</v>
      </c>
      <c r="L167" t="str">
        <f>PROPER(VLOOKUP(Personel!A167,denem!A:AC,10,0))</f>
        <v>İstanbul Bilim Üniversitesi</v>
      </c>
      <c r="M167" t="str">
        <f>PROPER(VLOOKUP(Personel!A167,denem!A:AC,11,0))</f>
        <v>Sağ. Hiz. Mes. Yo Tıbbi Görüntüleme Teknikeri</v>
      </c>
      <c r="N167" s="6" t="str">
        <f>VLOOKUP(Personel!A167,denem!A:AC,12,0)</f>
        <v>08.07.2010 101</v>
      </c>
      <c r="O167" t="str">
        <f>PROPER(VLOOKUP(Personel!A167,denem!A:AC,13,0))</f>
        <v>101</v>
      </c>
      <c r="X167" t="s">
        <v>31</v>
      </c>
      <c r="AC167" t="s">
        <v>32</v>
      </c>
    </row>
    <row r="168" spans="1:29" x14ac:dyDescent="0.25">
      <c r="A168" s="8">
        <v>63370399358</v>
      </c>
      <c r="B168" t="s">
        <v>200</v>
      </c>
      <c r="C168" s="7" t="e">
        <f>VLOOKUP(Personel!A168,denem!A:AC,8,0)</f>
        <v>#N/A</v>
      </c>
      <c r="D168" s="6" t="e">
        <f>VLOOKUP(Personel!A168,denem!A:AC,9,0)</f>
        <v>#N/A</v>
      </c>
      <c r="F168" t="s">
        <v>993</v>
      </c>
      <c r="H168" t="e">
        <v>#N/A</v>
      </c>
      <c r="I168" s="6" t="e">
        <v>#N/A</v>
      </c>
      <c r="K168" s="6" t="e">
        <v>#N/A</v>
      </c>
      <c r="L168" t="e">
        <f>PROPER(VLOOKUP(Personel!A168,denem!A:AC,10,0))</f>
        <v>#N/A</v>
      </c>
      <c r="M168" t="e">
        <f>PROPER(VLOOKUP(Personel!A168,denem!A:AC,11,0))</f>
        <v>#N/A</v>
      </c>
      <c r="N168" s="6" t="e">
        <f>VLOOKUP(Personel!A168,denem!A:AC,12,0)</f>
        <v>#N/A</v>
      </c>
      <c r="O168" t="e">
        <f>PROPER(VLOOKUP(Personel!A168,denem!A:AC,13,0))</f>
        <v>#N/A</v>
      </c>
      <c r="X168" t="s">
        <v>31</v>
      </c>
      <c r="AC168" t="s">
        <v>32</v>
      </c>
    </row>
    <row r="169" spans="1:29" x14ac:dyDescent="0.25">
      <c r="A169" s="8">
        <v>62629279496</v>
      </c>
      <c r="B169" t="s">
        <v>201</v>
      </c>
      <c r="C169" s="7">
        <f>VLOOKUP(Personel!A169,denem!A:AC,8,0)</f>
        <v>0</v>
      </c>
      <c r="D169" s="6">
        <f>VLOOKUP(Personel!A169,denem!A:AC,9,0)</f>
        <v>34344</v>
      </c>
      <c r="F169" t="s">
        <v>985</v>
      </c>
      <c r="H169" t="e">
        <v>#N/A</v>
      </c>
      <c r="I169" s="6" t="e">
        <v>#N/A</v>
      </c>
      <c r="K169" s="6" t="s">
        <v>771</v>
      </c>
      <c r="L169" t="str">
        <f>PROPER(VLOOKUP(Personel!A169,denem!A:AC,10,0))</f>
        <v>Tekirdağ Namık Kemal Üniversitesi</v>
      </c>
      <c r="M169" t="str">
        <f>PROPER(VLOOKUP(Personel!A169,denem!A:AC,11,0))</f>
        <v>Tıp Fakültesi</v>
      </c>
      <c r="N169" s="6" t="str">
        <f>VLOOKUP(Personel!A169,denem!A:AC,12,0)</f>
        <v>12.07.2019/ 249</v>
      </c>
      <c r="O169" t="str">
        <f>PROPER(VLOOKUP(Personel!A169,denem!A:AC,13,0))</f>
        <v>249</v>
      </c>
      <c r="X169" t="s">
        <v>31</v>
      </c>
      <c r="AC169" t="s">
        <v>32</v>
      </c>
    </row>
    <row r="170" spans="1:29" x14ac:dyDescent="0.25">
      <c r="A170" s="8">
        <v>51853650362</v>
      </c>
      <c r="B170" t="s">
        <v>202</v>
      </c>
      <c r="C170" s="7" t="e">
        <f>VLOOKUP(Personel!A170,denem!A:AC,8,0)</f>
        <v>#N/A</v>
      </c>
      <c r="D170" s="6" t="e">
        <f>VLOOKUP(Personel!A170,denem!A:AC,9,0)</f>
        <v>#N/A</v>
      </c>
      <c r="F170" t="s">
        <v>987</v>
      </c>
      <c r="H170" t="e">
        <v>#N/A</v>
      </c>
      <c r="I170" s="6" t="e">
        <v>#N/A</v>
      </c>
      <c r="K170" s="6" t="e">
        <v>#N/A</v>
      </c>
      <c r="L170" t="e">
        <f>PROPER(VLOOKUP(Personel!A170,denem!A:AC,10,0))</f>
        <v>#N/A</v>
      </c>
      <c r="M170" t="e">
        <f>PROPER(VLOOKUP(Personel!A170,denem!A:AC,11,0))</f>
        <v>#N/A</v>
      </c>
      <c r="N170" s="6" t="e">
        <f>VLOOKUP(Personel!A170,denem!A:AC,12,0)</f>
        <v>#N/A</v>
      </c>
      <c r="O170" t="e">
        <f>PROPER(VLOOKUP(Personel!A170,denem!A:AC,13,0))</f>
        <v>#N/A</v>
      </c>
      <c r="X170" t="s">
        <v>31</v>
      </c>
      <c r="AC170" t="s">
        <v>32</v>
      </c>
    </row>
    <row r="171" spans="1:29" x14ac:dyDescent="0.25">
      <c r="A171" s="8">
        <v>18236406640</v>
      </c>
      <c r="B171" t="s">
        <v>203</v>
      </c>
      <c r="C171" s="7" t="e">
        <f>VLOOKUP(Personel!A171,denem!A:AC,8,0)</f>
        <v>#N/A</v>
      </c>
      <c r="D171" s="6" t="e">
        <f>VLOOKUP(Personel!A171,denem!A:AC,9,0)</f>
        <v>#N/A</v>
      </c>
      <c r="F171" t="s">
        <v>985</v>
      </c>
      <c r="H171" t="e">
        <v>#N/A</v>
      </c>
      <c r="I171" s="6" t="e">
        <v>#N/A</v>
      </c>
      <c r="K171" s="6" t="e">
        <v>#N/A</v>
      </c>
      <c r="L171" t="e">
        <f>PROPER(VLOOKUP(Personel!A171,denem!A:AC,10,0))</f>
        <v>#N/A</v>
      </c>
      <c r="M171" t="e">
        <f>PROPER(VLOOKUP(Personel!A171,denem!A:AC,11,0))</f>
        <v>#N/A</v>
      </c>
      <c r="N171" s="6" t="e">
        <f>VLOOKUP(Personel!A171,denem!A:AC,12,0)</f>
        <v>#N/A</v>
      </c>
      <c r="O171" t="e">
        <f>PROPER(VLOOKUP(Personel!A171,denem!A:AC,13,0))</f>
        <v>#N/A</v>
      </c>
      <c r="X171" t="s">
        <v>31</v>
      </c>
      <c r="AC171" t="s">
        <v>32</v>
      </c>
    </row>
    <row r="172" spans="1:29" x14ac:dyDescent="0.25">
      <c r="A172" s="8">
        <v>21413501298</v>
      </c>
      <c r="B172" t="s">
        <v>204</v>
      </c>
      <c r="C172" s="7">
        <f>VLOOKUP(Personel!A172,denem!A:AC,8,0)</f>
        <v>0</v>
      </c>
      <c r="D172" s="6">
        <f>VLOOKUP(Personel!A172,denem!A:AC,9,0)</f>
        <v>30230</v>
      </c>
      <c r="F172" t="s">
        <v>235</v>
      </c>
      <c r="H172" t="s">
        <v>981</v>
      </c>
      <c r="I172" s="6">
        <v>40168</v>
      </c>
      <c r="K172" s="6" t="s">
        <v>781</v>
      </c>
      <c r="L172" t="str">
        <f>PROPER(VLOOKUP(Personel!A172,denem!A:AC,10,0))</f>
        <v xml:space="preserve">İstanbul Üniversitesi </v>
      </c>
      <c r="M172" t="str">
        <f>PROPER(VLOOKUP(Personel!A172,denem!A:AC,11,0))</f>
        <v>Cerrahpaşa Sağ. Hiz. Mes. Yo Radyoloji Bölümü</v>
      </c>
      <c r="N172" s="6" t="str">
        <f>VLOOKUP(Personel!A172,denem!A:AC,12,0)</f>
        <v>13.09.2002 685</v>
      </c>
      <c r="O172" t="str">
        <f>PROPER(VLOOKUP(Personel!A172,denem!A:AC,13,0))</f>
        <v>685</v>
      </c>
      <c r="X172" t="s">
        <v>31</v>
      </c>
      <c r="AC172" t="s">
        <v>32</v>
      </c>
    </row>
    <row r="173" spans="1:29" x14ac:dyDescent="0.25">
      <c r="A173" s="8">
        <v>24103868596</v>
      </c>
      <c r="B173" t="s">
        <v>205</v>
      </c>
      <c r="C173" s="7" t="e">
        <f>VLOOKUP(Personel!A173,denem!A:AC,8,0)</f>
        <v>#N/A</v>
      </c>
      <c r="D173" s="6" t="e">
        <f>VLOOKUP(Personel!A173,denem!A:AC,9,0)</f>
        <v>#N/A</v>
      </c>
      <c r="F173" t="s">
        <v>986</v>
      </c>
      <c r="H173" t="e">
        <v>#N/A</v>
      </c>
      <c r="I173" s="6" t="e">
        <v>#N/A</v>
      </c>
      <c r="K173" s="6" t="e">
        <v>#N/A</v>
      </c>
      <c r="L173" t="e">
        <f>PROPER(VLOOKUP(Personel!A173,denem!A:AC,10,0))</f>
        <v>#N/A</v>
      </c>
      <c r="M173" t="e">
        <f>PROPER(VLOOKUP(Personel!A173,denem!A:AC,11,0))</f>
        <v>#N/A</v>
      </c>
      <c r="N173" s="6" t="e">
        <f>VLOOKUP(Personel!A173,denem!A:AC,12,0)</f>
        <v>#N/A</v>
      </c>
      <c r="O173" t="e">
        <f>PROPER(VLOOKUP(Personel!A173,denem!A:AC,13,0))</f>
        <v>#N/A</v>
      </c>
      <c r="X173" t="s">
        <v>31</v>
      </c>
      <c r="AC173" t="s">
        <v>32</v>
      </c>
    </row>
    <row r="174" spans="1:29" x14ac:dyDescent="0.25">
      <c r="A174" s="8">
        <v>24278072620</v>
      </c>
      <c r="B174" t="s">
        <v>206</v>
      </c>
      <c r="C174" s="7" t="e">
        <f>VLOOKUP(Personel!A174,denem!A:AC,8,0)</f>
        <v>#N/A</v>
      </c>
      <c r="D174" s="6" t="e">
        <f>VLOOKUP(Personel!A174,denem!A:AC,9,0)</f>
        <v>#N/A</v>
      </c>
      <c r="F174" t="s">
        <v>988</v>
      </c>
      <c r="H174" t="e">
        <v>#N/A</v>
      </c>
      <c r="I174" s="6" t="e">
        <v>#N/A</v>
      </c>
      <c r="K174" s="6" t="e">
        <v>#N/A</v>
      </c>
      <c r="L174" t="e">
        <f>PROPER(VLOOKUP(Personel!A174,denem!A:AC,10,0))</f>
        <v>#N/A</v>
      </c>
      <c r="M174" t="e">
        <f>PROPER(VLOOKUP(Personel!A174,denem!A:AC,11,0))</f>
        <v>#N/A</v>
      </c>
      <c r="N174" s="6" t="e">
        <f>VLOOKUP(Personel!A174,denem!A:AC,12,0)</f>
        <v>#N/A</v>
      </c>
      <c r="O174" t="e">
        <f>PROPER(VLOOKUP(Personel!A174,denem!A:AC,13,0))</f>
        <v>#N/A</v>
      </c>
      <c r="X174" t="s">
        <v>31</v>
      </c>
      <c r="AC174" t="s">
        <v>32</v>
      </c>
    </row>
    <row r="175" spans="1:29" x14ac:dyDescent="0.25">
      <c r="A175" s="8">
        <v>12649440932</v>
      </c>
      <c r="B175" t="s">
        <v>207</v>
      </c>
      <c r="C175" s="7" t="str">
        <f>VLOOKUP(Personel!A175,denem!A:AC,8,0)</f>
        <v>İstanbul</v>
      </c>
      <c r="D175" s="6">
        <f>VLOOKUP(Personel!A175,denem!A:AC,9,0)</f>
        <v>35578</v>
      </c>
      <c r="F175" t="s">
        <v>303</v>
      </c>
      <c r="H175" t="e">
        <v>#N/A</v>
      </c>
      <c r="I175" s="6" t="e">
        <v>#N/A</v>
      </c>
      <c r="K175" s="6" t="s">
        <v>786</v>
      </c>
      <c r="L175" t="str">
        <f>PROPER(VLOOKUP(Personel!A175,denem!A:AC,10,0))</f>
        <v xml:space="preserve">İstanbul Üniversitesi </v>
      </c>
      <c r="M175" t="str">
        <f>PROPER(VLOOKUP(Personel!A175,denem!A:AC,11,0))</f>
        <v>İstanbul Tıp Fakültesi</v>
      </c>
      <c r="N175" s="6">
        <f>VLOOKUP(Personel!A175,denem!A:AC,12,0)</f>
        <v>237254</v>
      </c>
      <c r="O175" t="str">
        <f>PROPER(VLOOKUP(Personel!A175,denem!A:AC,13,0))</f>
        <v>237254</v>
      </c>
      <c r="X175" t="s">
        <v>31</v>
      </c>
      <c r="AC175" t="s">
        <v>32</v>
      </c>
    </row>
    <row r="176" spans="1:29" x14ac:dyDescent="0.25">
      <c r="A176" s="8">
        <v>99210522976</v>
      </c>
      <c r="B176" t="s">
        <v>208</v>
      </c>
      <c r="C176" s="7" t="str">
        <f>VLOOKUP(Personel!A176,denem!A:AC,8,0)</f>
        <v>Azerbaycan</v>
      </c>
      <c r="D176" s="6">
        <f>VLOOKUP(Personel!A176,denem!A:AC,9,0)</f>
        <v>35273</v>
      </c>
      <c r="F176" t="s">
        <v>990</v>
      </c>
      <c r="H176" t="e">
        <v>#N/A</v>
      </c>
      <c r="I176" s="6" t="e">
        <v>#N/A</v>
      </c>
      <c r="K176" s="6" t="s">
        <v>790</v>
      </c>
      <c r="L176" t="str">
        <f>PROPER(VLOOKUP(Personel!A176,denem!A:AC,10,0))</f>
        <v>Azerbaycan Tıp Universitesi</v>
      </c>
      <c r="M176" t="str">
        <f>PROPER(VLOOKUP(Personel!A176,denem!A:AC,11,0))</f>
        <v>Tıp Fakültesi</v>
      </c>
      <c r="N176" s="6" t="str">
        <f>VLOOKUP(Personel!A176,denem!A:AC,12,0)</f>
        <v>22.06.2019</v>
      </c>
      <c r="O176" t="str">
        <f>PROPER(VLOOKUP(Personel!A176,denem!A:AC,13,0))</f>
        <v>2019</v>
      </c>
      <c r="X176" t="s">
        <v>31</v>
      </c>
      <c r="AC176" t="s">
        <v>32</v>
      </c>
    </row>
    <row r="177" spans="1:29" x14ac:dyDescent="0.25">
      <c r="A177" s="8">
        <v>21158107410</v>
      </c>
      <c r="B177" t="s">
        <v>209</v>
      </c>
      <c r="C177" s="7" t="e">
        <f>VLOOKUP(Personel!A177,denem!A:AC,8,0)</f>
        <v>#N/A</v>
      </c>
      <c r="D177" s="6" t="e">
        <f>VLOOKUP(Personel!A177,denem!A:AC,9,0)</f>
        <v>#N/A</v>
      </c>
      <c r="F177" t="s">
        <v>985</v>
      </c>
      <c r="H177" t="e">
        <v>#N/A</v>
      </c>
      <c r="I177" s="6" t="e">
        <v>#N/A</v>
      </c>
      <c r="K177" s="6" t="e">
        <v>#N/A</v>
      </c>
      <c r="L177" t="e">
        <f>PROPER(VLOOKUP(Personel!A177,denem!A:AC,10,0))</f>
        <v>#N/A</v>
      </c>
      <c r="M177" t="e">
        <f>PROPER(VLOOKUP(Personel!A177,denem!A:AC,11,0))</f>
        <v>#N/A</v>
      </c>
      <c r="N177" s="6" t="e">
        <f>VLOOKUP(Personel!A177,denem!A:AC,12,0)</f>
        <v>#N/A</v>
      </c>
      <c r="O177" t="e">
        <f>PROPER(VLOOKUP(Personel!A177,denem!A:AC,13,0))</f>
        <v>#N/A</v>
      </c>
      <c r="X177" t="s">
        <v>31</v>
      </c>
      <c r="AC177" t="s">
        <v>32</v>
      </c>
    </row>
    <row r="178" spans="1:29" x14ac:dyDescent="0.25">
      <c r="A178" s="8">
        <v>53122605868</v>
      </c>
      <c r="B178" t="s">
        <v>210</v>
      </c>
      <c r="C178" s="7" t="e">
        <f>VLOOKUP(Personel!A178,denem!A:AC,8,0)</f>
        <v>#N/A</v>
      </c>
      <c r="D178" s="6" t="e">
        <f>VLOOKUP(Personel!A178,denem!A:AC,9,0)</f>
        <v>#N/A</v>
      </c>
      <c r="F178" t="s">
        <v>986</v>
      </c>
      <c r="H178" t="e">
        <v>#N/A</v>
      </c>
      <c r="I178" s="6" t="e">
        <v>#N/A</v>
      </c>
      <c r="K178" s="6" t="e">
        <v>#N/A</v>
      </c>
      <c r="L178" t="e">
        <f>PROPER(VLOOKUP(Personel!A178,denem!A:AC,10,0))</f>
        <v>#N/A</v>
      </c>
      <c r="M178" t="e">
        <f>PROPER(VLOOKUP(Personel!A178,denem!A:AC,11,0))</f>
        <v>#N/A</v>
      </c>
      <c r="N178" s="6" t="e">
        <f>VLOOKUP(Personel!A178,denem!A:AC,12,0)</f>
        <v>#N/A</v>
      </c>
      <c r="O178" t="e">
        <f>PROPER(VLOOKUP(Personel!A178,denem!A:AC,13,0))</f>
        <v>#N/A</v>
      </c>
      <c r="X178" t="s">
        <v>31</v>
      </c>
      <c r="AC178" t="s">
        <v>32</v>
      </c>
    </row>
    <row r="179" spans="1:29" x14ac:dyDescent="0.25">
      <c r="A179" s="8">
        <v>45274456344</v>
      </c>
      <c r="B179" t="s">
        <v>211</v>
      </c>
      <c r="C179" s="7" t="e">
        <f>VLOOKUP(Personel!A179,denem!A:AC,8,0)</f>
        <v>#N/A</v>
      </c>
      <c r="D179" s="6" t="e">
        <f>VLOOKUP(Personel!A179,denem!A:AC,9,0)</f>
        <v>#N/A</v>
      </c>
      <c r="F179" t="s">
        <v>993</v>
      </c>
      <c r="H179" t="e">
        <v>#N/A</v>
      </c>
      <c r="I179" s="6" t="e">
        <v>#N/A</v>
      </c>
      <c r="K179" s="6" t="e">
        <v>#N/A</v>
      </c>
      <c r="L179" t="e">
        <f>PROPER(VLOOKUP(Personel!A179,denem!A:AC,10,0))</f>
        <v>#N/A</v>
      </c>
      <c r="M179" t="e">
        <f>PROPER(VLOOKUP(Personel!A179,denem!A:AC,11,0))</f>
        <v>#N/A</v>
      </c>
      <c r="N179" s="6" t="e">
        <f>VLOOKUP(Personel!A179,denem!A:AC,12,0)</f>
        <v>#N/A</v>
      </c>
      <c r="O179" t="e">
        <f>PROPER(VLOOKUP(Personel!A179,denem!A:AC,13,0))</f>
        <v>#N/A</v>
      </c>
      <c r="X179" t="s">
        <v>31</v>
      </c>
      <c r="AC179" t="s">
        <v>32</v>
      </c>
    </row>
    <row r="180" spans="1:29" x14ac:dyDescent="0.25">
      <c r="A180" s="8">
        <v>59974019778</v>
      </c>
      <c r="B180" t="s">
        <v>212</v>
      </c>
      <c r="C180" s="7" t="e">
        <f>VLOOKUP(Personel!A180,denem!A:AC,8,0)</f>
        <v>#N/A</v>
      </c>
      <c r="D180" s="6" t="e">
        <f>VLOOKUP(Personel!A180,denem!A:AC,9,0)</f>
        <v>#N/A</v>
      </c>
      <c r="F180" t="s">
        <v>985</v>
      </c>
      <c r="H180" t="e">
        <v>#N/A</v>
      </c>
      <c r="I180" s="6" t="e">
        <v>#N/A</v>
      </c>
      <c r="K180" s="6" t="e">
        <v>#N/A</v>
      </c>
      <c r="L180" t="e">
        <f>PROPER(VLOOKUP(Personel!A180,denem!A:AC,10,0))</f>
        <v>#N/A</v>
      </c>
      <c r="M180" t="e">
        <f>PROPER(VLOOKUP(Personel!A180,denem!A:AC,11,0))</f>
        <v>#N/A</v>
      </c>
      <c r="N180" s="6" t="e">
        <f>VLOOKUP(Personel!A180,denem!A:AC,12,0)</f>
        <v>#N/A</v>
      </c>
      <c r="O180" t="e">
        <f>PROPER(VLOOKUP(Personel!A180,denem!A:AC,13,0))</f>
        <v>#N/A</v>
      </c>
      <c r="X180" t="s">
        <v>31</v>
      </c>
      <c r="AC180" t="s">
        <v>32</v>
      </c>
    </row>
    <row r="181" spans="1:29" x14ac:dyDescent="0.25">
      <c r="A181" s="8">
        <v>50599306298</v>
      </c>
      <c r="B181" t="s">
        <v>213</v>
      </c>
      <c r="C181" s="7" t="e">
        <f>VLOOKUP(Personel!A181,denem!A:AC,8,0)</f>
        <v>#N/A</v>
      </c>
      <c r="D181" s="6" t="e">
        <f>VLOOKUP(Personel!A181,denem!A:AC,9,0)</f>
        <v>#N/A</v>
      </c>
      <c r="F181" t="s">
        <v>1006</v>
      </c>
      <c r="H181" t="e">
        <v>#N/A</v>
      </c>
      <c r="I181" s="6" t="e">
        <v>#N/A</v>
      </c>
      <c r="K181" s="6" t="e">
        <v>#N/A</v>
      </c>
      <c r="L181" t="e">
        <f>PROPER(VLOOKUP(Personel!A181,denem!A:AC,10,0))</f>
        <v>#N/A</v>
      </c>
      <c r="M181" t="e">
        <f>PROPER(VLOOKUP(Personel!A181,denem!A:AC,11,0))</f>
        <v>#N/A</v>
      </c>
      <c r="N181" s="6" t="e">
        <f>VLOOKUP(Personel!A181,denem!A:AC,12,0)</f>
        <v>#N/A</v>
      </c>
      <c r="O181" t="e">
        <f>PROPER(VLOOKUP(Personel!A181,denem!A:AC,13,0))</f>
        <v>#N/A</v>
      </c>
      <c r="X181" t="s">
        <v>31</v>
      </c>
      <c r="AC181" t="s">
        <v>32</v>
      </c>
    </row>
    <row r="182" spans="1:29" x14ac:dyDescent="0.25">
      <c r="A182" s="8">
        <v>59485493838</v>
      </c>
      <c r="B182" t="s">
        <v>214</v>
      </c>
      <c r="C182" s="7" t="e">
        <f>VLOOKUP(Personel!A182,denem!A:AC,8,0)</f>
        <v>#N/A</v>
      </c>
      <c r="D182" s="6" t="e">
        <f>VLOOKUP(Personel!A182,denem!A:AC,9,0)</f>
        <v>#N/A</v>
      </c>
      <c r="F182" t="s">
        <v>446</v>
      </c>
      <c r="H182" t="e">
        <v>#N/A</v>
      </c>
      <c r="I182" s="6" t="e">
        <v>#N/A</v>
      </c>
      <c r="K182" s="6" t="e">
        <v>#N/A</v>
      </c>
      <c r="L182" t="e">
        <f>PROPER(VLOOKUP(Personel!A182,denem!A:AC,10,0))</f>
        <v>#N/A</v>
      </c>
      <c r="M182" t="e">
        <f>PROPER(VLOOKUP(Personel!A182,denem!A:AC,11,0))</f>
        <v>#N/A</v>
      </c>
      <c r="N182" s="6" t="e">
        <f>VLOOKUP(Personel!A182,denem!A:AC,12,0)</f>
        <v>#N/A</v>
      </c>
      <c r="O182" t="e">
        <f>PROPER(VLOOKUP(Personel!A182,denem!A:AC,13,0))</f>
        <v>#N/A</v>
      </c>
      <c r="X182" t="s">
        <v>31</v>
      </c>
      <c r="AC182" t="s">
        <v>32</v>
      </c>
    </row>
    <row r="183" spans="1:29" x14ac:dyDescent="0.25">
      <c r="A183" s="8">
        <v>19052329618</v>
      </c>
      <c r="B183" t="s">
        <v>215</v>
      </c>
      <c r="C183" s="7" t="e">
        <f>VLOOKUP(Personel!A183,denem!A:AC,8,0)</f>
        <v>#N/A</v>
      </c>
      <c r="D183" s="6" t="e">
        <f>VLOOKUP(Personel!A183,denem!A:AC,9,0)</f>
        <v>#N/A</v>
      </c>
      <c r="F183" t="s">
        <v>986</v>
      </c>
      <c r="H183" t="e">
        <v>#N/A</v>
      </c>
      <c r="I183" s="6" t="e">
        <v>#N/A</v>
      </c>
      <c r="K183" s="6" t="e">
        <v>#N/A</v>
      </c>
      <c r="L183" t="e">
        <f>PROPER(VLOOKUP(Personel!A183,denem!A:AC,10,0))</f>
        <v>#N/A</v>
      </c>
      <c r="M183" t="e">
        <f>PROPER(VLOOKUP(Personel!A183,denem!A:AC,11,0))</f>
        <v>#N/A</v>
      </c>
      <c r="N183" s="6" t="e">
        <f>VLOOKUP(Personel!A183,denem!A:AC,12,0)</f>
        <v>#N/A</v>
      </c>
      <c r="O183" t="e">
        <f>PROPER(VLOOKUP(Personel!A183,denem!A:AC,13,0))</f>
        <v>#N/A</v>
      </c>
      <c r="X183" t="s">
        <v>31</v>
      </c>
      <c r="AC183" t="s">
        <v>32</v>
      </c>
    </row>
    <row r="184" spans="1:29" x14ac:dyDescent="0.25">
      <c r="A184" s="8">
        <v>15266714844</v>
      </c>
      <c r="B184" t="s">
        <v>216</v>
      </c>
      <c r="C184" s="7" t="str">
        <f>VLOOKUP(Personel!A184,denem!A:AC,8,0)</f>
        <v>İzmir</v>
      </c>
      <c r="D184" s="6">
        <f>VLOOKUP(Personel!A184,denem!A:AC,9,0)</f>
        <v>35431</v>
      </c>
      <c r="F184" t="s">
        <v>985</v>
      </c>
      <c r="H184" t="e">
        <v>#N/A</v>
      </c>
      <c r="I184" s="6" t="e">
        <v>#N/A</v>
      </c>
      <c r="K184" s="6" t="s">
        <v>801</v>
      </c>
      <c r="L184" t="str">
        <f>PROPER(VLOOKUP(Personel!A184,denem!A:AC,10,0))</f>
        <v xml:space="preserve">İstanbul Üniversitesi </v>
      </c>
      <c r="M184" t="str">
        <f>PROPER(VLOOKUP(Personel!A184,denem!A:AC,11,0))</f>
        <v>İstanbul Tıp Fakültesi</v>
      </c>
      <c r="N184" s="6" t="str">
        <f>VLOOKUP(Personel!A184,denem!A:AC,12,0)</f>
        <v>12/12/2021 32792/36260</v>
      </c>
      <c r="O184" t="str">
        <f>PROPER(VLOOKUP(Personel!A184,denem!A:AC,13,0))</f>
        <v>36260</v>
      </c>
      <c r="X184" t="s">
        <v>31</v>
      </c>
      <c r="AC184" t="s">
        <v>32</v>
      </c>
    </row>
    <row r="185" spans="1:29" x14ac:dyDescent="0.25">
      <c r="A185" s="8">
        <v>27652939496</v>
      </c>
      <c r="B185" t="s">
        <v>217</v>
      </c>
      <c r="C185" s="7" t="e">
        <f>VLOOKUP(Personel!A185,denem!A:AC,8,0)</f>
        <v>#N/A</v>
      </c>
      <c r="D185" s="6" t="e">
        <f>VLOOKUP(Personel!A185,denem!A:AC,9,0)</f>
        <v>#N/A</v>
      </c>
      <c r="F185" t="s">
        <v>993</v>
      </c>
      <c r="H185" t="e">
        <v>#N/A</v>
      </c>
      <c r="I185" s="6" t="e">
        <v>#N/A</v>
      </c>
      <c r="K185" s="6" t="e">
        <v>#N/A</v>
      </c>
      <c r="L185" t="e">
        <f>PROPER(VLOOKUP(Personel!A185,denem!A:AC,10,0))</f>
        <v>#N/A</v>
      </c>
      <c r="M185" t="e">
        <f>PROPER(VLOOKUP(Personel!A185,denem!A:AC,11,0))</f>
        <v>#N/A</v>
      </c>
      <c r="N185" s="6" t="e">
        <f>VLOOKUP(Personel!A185,denem!A:AC,12,0)</f>
        <v>#N/A</v>
      </c>
      <c r="O185" t="e">
        <f>PROPER(VLOOKUP(Personel!A185,denem!A:AC,13,0))</f>
        <v>#N/A</v>
      </c>
      <c r="X185" t="s">
        <v>31</v>
      </c>
      <c r="AC185" t="s">
        <v>32</v>
      </c>
    </row>
    <row r="186" spans="1:29" x14ac:dyDescent="0.25">
      <c r="A186" s="8">
        <v>39292722758</v>
      </c>
      <c r="B186" t="s">
        <v>218</v>
      </c>
      <c r="C186" s="7">
        <f>VLOOKUP(Personel!A186,denem!A:AC,8,0)</f>
        <v>0</v>
      </c>
      <c r="D186" s="6">
        <f>VLOOKUP(Personel!A186,denem!A:AC,9,0)</f>
        <v>31723</v>
      </c>
      <c r="F186" t="s">
        <v>1001</v>
      </c>
      <c r="H186" t="e">
        <v>#N/A</v>
      </c>
      <c r="I186" s="6" t="e">
        <v>#N/A</v>
      </c>
      <c r="K186" s="6" t="s">
        <v>806</v>
      </c>
      <c r="L186" t="str">
        <f>PROPER(VLOOKUP(Personel!A186,denem!A:AC,10,0))</f>
        <v xml:space="preserve">İstanbul Üniversitesi </v>
      </c>
      <c r="M186" t="str">
        <f>PROPER(VLOOKUP(Personel!A186,denem!A:AC,11,0))</f>
        <v>İstanbul Tıp Fakültesi</v>
      </c>
      <c r="N186" s="6" t="str">
        <f>VLOOKUP(Personel!A186,denem!A:AC,12,0)</f>
        <v>02/07/2010    27958/31426</v>
      </c>
      <c r="O186" t="str">
        <f>PROPER(VLOOKUP(Personel!A186,denem!A:AC,13,0))</f>
        <v>31426</v>
      </c>
      <c r="X186" t="s">
        <v>31</v>
      </c>
      <c r="AC186" t="s">
        <v>32</v>
      </c>
    </row>
    <row r="187" spans="1:29" x14ac:dyDescent="0.25">
      <c r="A187" s="8">
        <v>15848154310</v>
      </c>
      <c r="B187" t="s">
        <v>219</v>
      </c>
      <c r="C187" s="7" t="e">
        <f>VLOOKUP(Personel!A187,denem!A:AC,8,0)</f>
        <v>#N/A</v>
      </c>
      <c r="D187" s="6" t="e">
        <f>VLOOKUP(Personel!A187,denem!A:AC,9,0)</f>
        <v>#N/A</v>
      </c>
      <c r="F187" t="s">
        <v>235</v>
      </c>
      <c r="H187" t="e">
        <v>#N/A</v>
      </c>
      <c r="I187" s="6" t="e">
        <v>#N/A</v>
      </c>
      <c r="K187" s="6" t="e">
        <v>#N/A</v>
      </c>
      <c r="L187" t="e">
        <f>PROPER(VLOOKUP(Personel!A187,denem!A:AC,10,0))</f>
        <v>#N/A</v>
      </c>
      <c r="M187" t="e">
        <f>PROPER(VLOOKUP(Personel!A187,denem!A:AC,11,0))</f>
        <v>#N/A</v>
      </c>
      <c r="N187" s="6" t="e">
        <f>VLOOKUP(Personel!A187,denem!A:AC,12,0)</f>
        <v>#N/A</v>
      </c>
      <c r="O187" t="e">
        <f>PROPER(VLOOKUP(Personel!A187,denem!A:AC,13,0))</f>
        <v>#N/A</v>
      </c>
      <c r="X187" t="s">
        <v>31</v>
      </c>
      <c r="AC187" t="s">
        <v>32</v>
      </c>
    </row>
    <row r="188" spans="1:29" x14ac:dyDescent="0.25">
      <c r="A188" s="9">
        <v>60142116854</v>
      </c>
      <c r="B188" s="1" t="s">
        <v>369</v>
      </c>
      <c r="C188" s="7" t="str">
        <f>VLOOKUP(Personel!A188,denem!A:AC,8,0)</f>
        <v>Manisa</v>
      </c>
      <c r="D188" s="6">
        <f>VLOOKUP(Personel!A188,denem!A:AC,9,0)</f>
        <v>27891</v>
      </c>
      <c r="F188" t="s">
        <v>235</v>
      </c>
      <c r="H188" t="s">
        <v>855</v>
      </c>
      <c r="I188" s="6">
        <v>35745</v>
      </c>
      <c r="K188" s="6" t="s">
        <v>367</v>
      </c>
      <c r="L188" t="str">
        <f>PROPER(VLOOKUP(Personel!A188,denem!A:AC,10,0))</f>
        <v>Marmara Üniversitesi</v>
      </c>
      <c r="M188" t="str">
        <f>PROPER(VLOOKUP(Personel!A188,denem!A:AC,11,0))</f>
        <v>Sağ. Hiz. Mes. Yo Radyoloji Bölümü</v>
      </c>
      <c r="N188" s="6">
        <f>VLOOKUP(Personel!A188,denem!A:AC,12,0)</f>
        <v>35667</v>
      </c>
      <c r="O188" t="str">
        <f>PROPER(VLOOKUP(Personel!A188,denem!A:AC,13,0))</f>
        <v>140</v>
      </c>
    </row>
  </sheetData>
  <dataConsolidate/>
  <pageMargins left="0.7" right="0.7" top="0.75" bottom="0.75" header="0.3" footer="0.3"/>
  <pageSetup orientation="portrait" r:id="rId1"/>
  <ignoredErrors>
    <ignoredError sqref="D2" evalErro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F15B-E7D9-4AE8-BDDB-F096806356CF}">
  <dimension ref="A1:N119"/>
  <sheetViews>
    <sheetView topLeftCell="J80" zoomScaleNormal="100" workbookViewId="0">
      <selection activeCell="L85" sqref="L85"/>
    </sheetView>
  </sheetViews>
  <sheetFormatPr defaultRowHeight="15" x14ac:dyDescent="0.25"/>
  <cols>
    <col min="1" max="1" width="13.28515625" style="8" customWidth="1"/>
    <col min="2" max="2" width="22.5703125" bestFit="1" customWidth="1"/>
    <col min="3" max="3" width="29.7109375" bestFit="1" customWidth="1"/>
    <col min="4" max="4" width="74.28515625" bestFit="1" customWidth="1"/>
    <col min="5" max="5" width="26.28515625" bestFit="1" customWidth="1"/>
    <col min="6" max="6" width="37.140625" bestFit="1" customWidth="1"/>
    <col min="7" max="7" width="12.28515625" bestFit="1" customWidth="1"/>
    <col min="8" max="8" width="27" bestFit="1" customWidth="1"/>
    <col min="9" max="9" width="27" customWidth="1"/>
    <col min="10" max="10" width="79.7109375" bestFit="1" customWidth="1"/>
    <col min="11" max="11" width="75.85546875" customWidth="1"/>
    <col min="12" max="12" width="50" bestFit="1" customWidth="1"/>
    <col min="13" max="13" width="15.42578125" bestFit="1" customWidth="1"/>
    <col min="14" max="14" width="56.28515625" bestFit="1" customWidth="1"/>
  </cols>
  <sheetData>
    <row r="1" spans="1:14" x14ac:dyDescent="0.25">
      <c r="A1" s="9" t="s">
        <v>223</v>
      </c>
      <c r="B1" s="2" t="s">
        <v>222</v>
      </c>
      <c r="C1" s="1" t="s">
        <v>220</v>
      </c>
      <c r="D1" s="1" t="s">
        <v>221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983</v>
      </c>
      <c r="J1" s="1" t="s">
        <v>228</v>
      </c>
      <c r="K1" s="1" t="s">
        <v>1065</v>
      </c>
      <c r="L1" s="1" t="s">
        <v>229</v>
      </c>
      <c r="M1" s="1" t="s">
        <v>1125</v>
      </c>
      <c r="N1" s="1" t="s">
        <v>230</v>
      </c>
    </row>
    <row r="2" spans="1:14" x14ac:dyDescent="0.25">
      <c r="A2" s="9">
        <v>27274354172</v>
      </c>
      <c r="B2" s="1" t="s">
        <v>234</v>
      </c>
      <c r="C2" s="1" t="s">
        <v>231</v>
      </c>
      <c r="D2" s="3" t="s">
        <v>233</v>
      </c>
      <c r="E2" s="1" t="s">
        <v>235</v>
      </c>
      <c r="F2" s="1" t="s">
        <v>236</v>
      </c>
      <c r="G2" s="1" t="s">
        <v>237</v>
      </c>
      <c r="H2" s="1" t="s">
        <v>1007</v>
      </c>
      <c r="I2" s="5">
        <v>26299</v>
      </c>
      <c r="J2" s="1" t="s">
        <v>1066</v>
      </c>
      <c r="K2" s="1" t="s">
        <v>1080</v>
      </c>
      <c r="L2" s="5">
        <v>34684</v>
      </c>
      <c r="M2" s="1">
        <v>185</v>
      </c>
      <c r="N2" s="1" t="s">
        <v>238</v>
      </c>
    </row>
    <row r="3" spans="1:14" x14ac:dyDescent="0.25">
      <c r="A3" s="9">
        <v>18199300764</v>
      </c>
      <c r="B3" s="1" t="s">
        <v>241</v>
      </c>
      <c r="C3" s="1" t="s">
        <v>239</v>
      </c>
      <c r="D3" s="3" t="s">
        <v>240</v>
      </c>
      <c r="E3" s="1" t="s">
        <v>242</v>
      </c>
      <c r="F3" s="1" t="s">
        <v>243</v>
      </c>
      <c r="G3" s="1" t="s">
        <v>244</v>
      </c>
      <c r="H3" s="1" t="s">
        <v>984</v>
      </c>
      <c r="I3" s="5">
        <v>35661</v>
      </c>
      <c r="J3" s="1" t="s">
        <v>1067</v>
      </c>
      <c r="K3" s="1" t="s">
        <v>1090</v>
      </c>
      <c r="L3" s="5">
        <v>44554</v>
      </c>
      <c r="M3" s="1">
        <v>244963</v>
      </c>
    </row>
    <row r="4" spans="1:14" x14ac:dyDescent="0.25">
      <c r="A4" s="9">
        <v>15869294644</v>
      </c>
      <c r="B4" s="1" t="s">
        <v>247</v>
      </c>
      <c r="C4" s="1" t="s">
        <v>245</v>
      </c>
      <c r="D4" s="3" t="s">
        <v>246</v>
      </c>
      <c r="E4" s="1" t="s">
        <v>248</v>
      </c>
      <c r="F4" s="1" t="s">
        <v>249</v>
      </c>
      <c r="G4" s="1" t="s">
        <v>250</v>
      </c>
      <c r="H4" s="1" t="s">
        <v>1008</v>
      </c>
      <c r="I4" s="5">
        <v>34419</v>
      </c>
      <c r="J4" s="1" t="s">
        <v>1068</v>
      </c>
      <c r="K4" s="1" t="s">
        <v>357</v>
      </c>
      <c r="L4" s="5">
        <v>43289</v>
      </c>
      <c r="M4" s="1" t="s">
        <v>1150</v>
      </c>
    </row>
    <row r="5" spans="1:14" x14ac:dyDescent="0.25">
      <c r="A5" s="9">
        <v>19645682168</v>
      </c>
      <c r="B5" s="1" t="s">
        <v>253</v>
      </c>
      <c r="C5" s="1" t="s">
        <v>251</v>
      </c>
      <c r="D5" s="3" t="s">
        <v>252</v>
      </c>
      <c r="E5" s="1" t="s">
        <v>254</v>
      </c>
      <c r="F5" s="1" t="s">
        <v>255</v>
      </c>
      <c r="G5" s="1" t="s">
        <v>256</v>
      </c>
      <c r="H5" s="1" t="s">
        <v>1009</v>
      </c>
      <c r="I5" s="5">
        <v>26055</v>
      </c>
      <c r="J5" s="1" t="s">
        <v>1067</v>
      </c>
      <c r="K5" s="1" t="s">
        <v>1080</v>
      </c>
      <c r="L5" s="5">
        <v>34942</v>
      </c>
      <c r="M5" s="1">
        <v>241</v>
      </c>
    </row>
    <row r="6" spans="1:14" x14ac:dyDescent="0.25">
      <c r="A6" s="9">
        <v>16499844230</v>
      </c>
      <c r="B6" s="1" t="s">
        <v>258</v>
      </c>
      <c r="C6" s="1" t="s">
        <v>257</v>
      </c>
      <c r="D6" s="3" t="s">
        <v>262</v>
      </c>
      <c r="E6" s="1" t="s">
        <v>260</v>
      </c>
      <c r="F6" s="1" t="s">
        <v>259</v>
      </c>
      <c r="G6" s="1" t="s">
        <v>261</v>
      </c>
      <c r="H6" s="1" t="s">
        <v>1010</v>
      </c>
      <c r="I6" s="5">
        <v>30752</v>
      </c>
      <c r="J6" s="1" t="s">
        <v>1070</v>
      </c>
      <c r="K6" s="1" t="s">
        <v>1080</v>
      </c>
      <c r="L6" s="5">
        <v>39267</v>
      </c>
      <c r="M6" s="1">
        <v>881</v>
      </c>
    </row>
    <row r="7" spans="1:14" x14ac:dyDescent="0.25">
      <c r="A7" s="9">
        <v>31621815018</v>
      </c>
      <c r="B7" s="1" t="s">
        <v>40</v>
      </c>
      <c r="C7" s="1" t="s">
        <v>263</v>
      </c>
      <c r="D7" s="3" t="s">
        <v>264</v>
      </c>
      <c r="E7" s="1" t="s">
        <v>265</v>
      </c>
      <c r="F7" s="1" t="s">
        <v>266</v>
      </c>
      <c r="G7" s="1" t="s">
        <v>267</v>
      </c>
      <c r="H7" s="1" t="s">
        <v>1011</v>
      </c>
      <c r="I7" s="5">
        <v>28024</v>
      </c>
      <c r="J7" s="1" t="s">
        <v>1068</v>
      </c>
      <c r="K7" s="1" t="s">
        <v>357</v>
      </c>
      <c r="L7" s="5">
        <v>37043</v>
      </c>
      <c r="M7" s="1" t="s">
        <v>1131</v>
      </c>
      <c r="N7" s="1" t="s">
        <v>268</v>
      </c>
    </row>
    <row r="8" spans="1:14" x14ac:dyDescent="0.25">
      <c r="A8" s="9">
        <v>19277490100</v>
      </c>
      <c r="B8" s="1" t="s">
        <v>271</v>
      </c>
      <c r="C8" s="1" t="s">
        <v>269</v>
      </c>
      <c r="D8" s="3" t="s">
        <v>270</v>
      </c>
      <c r="E8" s="1" t="s">
        <v>272</v>
      </c>
      <c r="F8" s="1" t="s">
        <v>272</v>
      </c>
      <c r="G8" s="1" t="s">
        <v>273</v>
      </c>
      <c r="H8" s="1" t="s">
        <v>274</v>
      </c>
      <c r="I8" s="5"/>
      <c r="J8" s="1" t="s">
        <v>1071</v>
      </c>
      <c r="K8" s="1" t="s">
        <v>1080</v>
      </c>
      <c r="L8" s="10">
        <v>33604</v>
      </c>
      <c r="M8" s="4">
        <v>11</v>
      </c>
    </row>
    <row r="9" spans="1:14" x14ac:dyDescent="0.25">
      <c r="A9" s="9">
        <v>25364482644</v>
      </c>
      <c r="B9" s="1" t="s">
        <v>277</v>
      </c>
      <c r="C9" s="1" t="s">
        <v>275</v>
      </c>
      <c r="D9" s="3" t="s">
        <v>276</v>
      </c>
      <c r="E9" s="1" t="s">
        <v>278</v>
      </c>
      <c r="F9" s="1" t="s">
        <v>279</v>
      </c>
      <c r="G9" s="1" t="s">
        <v>280</v>
      </c>
      <c r="H9" s="1" t="s">
        <v>1012</v>
      </c>
      <c r="I9" s="5">
        <v>32686</v>
      </c>
      <c r="J9" s="1" t="s">
        <v>1068</v>
      </c>
      <c r="K9" s="1" t="s">
        <v>1080</v>
      </c>
      <c r="L9" s="5">
        <v>40164</v>
      </c>
      <c r="M9" s="1">
        <v>1903</v>
      </c>
    </row>
    <row r="10" spans="1:14" x14ac:dyDescent="0.25">
      <c r="A10" s="9">
        <v>41281522522</v>
      </c>
      <c r="B10" s="1" t="s">
        <v>42</v>
      </c>
      <c r="C10" s="1" t="s">
        <v>281</v>
      </c>
      <c r="D10" s="3" t="s">
        <v>282</v>
      </c>
      <c r="E10" s="1" t="s">
        <v>283</v>
      </c>
      <c r="F10" s="1" t="s">
        <v>243</v>
      </c>
      <c r="G10" s="1" t="s">
        <v>284</v>
      </c>
      <c r="H10" s="4"/>
      <c r="I10" s="5">
        <v>26055</v>
      </c>
      <c r="J10" s="1" t="s">
        <v>1068</v>
      </c>
      <c r="K10" s="1" t="s">
        <v>357</v>
      </c>
      <c r="L10" s="5">
        <v>34180</v>
      </c>
      <c r="M10" s="1" t="s">
        <v>1137</v>
      </c>
      <c r="N10" s="1" t="s">
        <v>285</v>
      </c>
    </row>
    <row r="11" spans="1:14" x14ac:dyDescent="0.25">
      <c r="A11" s="9">
        <v>21521659898</v>
      </c>
      <c r="B11" s="1" t="s">
        <v>288</v>
      </c>
      <c r="C11" s="1" t="s">
        <v>286</v>
      </c>
      <c r="D11" s="3" t="s">
        <v>287</v>
      </c>
      <c r="E11" s="1" t="s">
        <v>289</v>
      </c>
      <c r="F11" s="1" t="s">
        <v>255</v>
      </c>
      <c r="G11" s="1" t="s">
        <v>290</v>
      </c>
      <c r="H11" s="1" t="s">
        <v>1013</v>
      </c>
      <c r="I11" s="5">
        <v>30109</v>
      </c>
      <c r="J11" s="1" t="s">
        <v>1072</v>
      </c>
      <c r="K11" s="1" t="s">
        <v>1080</v>
      </c>
      <c r="L11" s="5">
        <v>37476</v>
      </c>
      <c r="M11" s="1">
        <v>1933</v>
      </c>
    </row>
    <row r="12" spans="1:14" x14ac:dyDescent="0.25">
      <c r="A12" s="9">
        <v>38554317466</v>
      </c>
      <c r="B12" s="1" t="s">
        <v>293</v>
      </c>
      <c r="C12" s="1" t="s">
        <v>291</v>
      </c>
      <c r="D12" s="3" t="s">
        <v>292</v>
      </c>
      <c r="E12" s="1" t="s">
        <v>294</v>
      </c>
      <c r="F12" s="1" t="s">
        <v>295</v>
      </c>
      <c r="G12" s="1" t="s">
        <v>296</v>
      </c>
      <c r="H12" s="4"/>
      <c r="I12" s="5">
        <v>23965</v>
      </c>
      <c r="J12" s="1" t="s">
        <v>1068</v>
      </c>
      <c r="K12" s="1" t="s">
        <v>357</v>
      </c>
      <c r="L12" s="5">
        <v>32143</v>
      </c>
      <c r="M12" s="1"/>
    </row>
    <row r="13" spans="1:14" x14ac:dyDescent="0.25">
      <c r="A13" s="9">
        <v>67864076688</v>
      </c>
      <c r="B13" s="1" t="s">
        <v>299</v>
      </c>
      <c r="C13" s="1" t="s">
        <v>297</v>
      </c>
      <c r="D13" s="3" t="s">
        <v>298</v>
      </c>
      <c r="E13" s="1" t="s">
        <v>235</v>
      </c>
      <c r="F13" s="1" t="s">
        <v>255</v>
      </c>
      <c r="G13" s="1" t="s">
        <v>300</v>
      </c>
      <c r="H13" s="1" t="s">
        <v>1014</v>
      </c>
      <c r="I13" s="5">
        <v>27884</v>
      </c>
      <c r="J13" s="1" t="s">
        <v>1073</v>
      </c>
      <c r="K13" s="1" t="s">
        <v>1080</v>
      </c>
      <c r="L13" s="5">
        <v>35450</v>
      </c>
      <c r="M13" s="1">
        <v>94102</v>
      </c>
    </row>
    <row r="14" spans="1:14" x14ac:dyDescent="0.25">
      <c r="A14" s="9">
        <v>18418193320</v>
      </c>
      <c r="B14" s="1" t="s">
        <v>302</v>
      </c>
      <c r="C14" s="1" t="s">
        <v>301</v>
      </c>
      <c r="D14" s="3" t="s">
        <v>304</v>
      </c>
      <c r="E14" s="1" t="s">
        <v>303</v>
      </c>
      <c r="F14" s="1" t="s">
        <v>243</v>
      </c>
      <c r="G14" s="1" t="s">
        <v>305</v>
      </c>
      <c r="H14" s="1" t="s">
        <v>1015</v>
      </c>
      <c r="I14" s="5">
        <v>33551</v>
      </c>
      <c r="J14" s="1" t="s">
        <v>1074</v>
      </c>
      <c r="K14" s="1" t="s">
        <v>1069</v>
      </c>
      <c r="L14" s="5">
        <v>42005</v>
      </c>
      <c r="M14" s="1">
        <v>176614</v>
      </c>
    </row>
    <row r="15" spans="1:14" x14ac:dyDescent="0.25">
      <c r="A15" s="9">
        <v>21661184694</v>
      </c>
      <c r="B15" s="1" t="s">
        <v>52</v>
      </c>
      <c r="C15" s="1" t="s">
        <v>306</v>
      </c>
      <c r="D15" s="3" t="s">
        <v>307</v>
      </c>
      <c r="E15" s="1" t="s">
        <v>308</v>
      </c>
      <c r="F15" s="1" t="s">
        <v>309</v>
      </c>
      <c r="G15" s="1" t="s">
        <v>310</v>
      </c>
      <c r="H15" s="1" t="s">
        <v>1016</v>
      </c>
      <c r="I15" s="5">
        <v>35296</v>
      </c>
      <c r="J15" s="1" t="s">
        <v>1067</v>
      </c>
      <c r="K15" s="1" t="s">
        <v>357</v>
      </c>
      <c r="L15" s="5">
        <v>44024</v>
      </c>
      <c r="M15" s="1" t="s">
        <v>1138</v>
      </c>
    </row>
    <row r="16" spans="1:14" x14ac:dyDescent="0.25">
      <c r="A16" s="9">
        <v>16105981854</v>
      </c>
      <c r="B16" s="1" t="s">
        <v>313</v>
      </c>
      <c r="C16" s="1" t="s">
        <v>311</v>
      </c>
      <c r="D16" s="3" t="s">
        <v>312</v>
      </c>
      <c r="E16" s="1" t="s">
        <v>314</v>
      </c>
      <c r="F16" s="1" t="s">
        <v>315</v>
      </c>
      <c r="G16" s="1" t="s">
        <v>316</v>
      </c>
      <c r="H16" s="1" t="s">
        <v>1017</v>
      </c>
      <c r="I16" s="5">
        <v>27241</v>
      </c>
      <c r="J16" s="1" t="s">
        <v>1075</v>
      </c>
      <c r="K16" s="1" t="s">
        <v>1069</v>
      </c>
      <c r="L16" s="5">
        <v>36780</v>
      </c>
      <c r="M16" s="1">
        <v>12437</v>
      </c>
      <c r="N16" s="1" t="s">
        <v>317</v>
      </c>
    </row>
    <row r="17" spans="1:14" x14ac:dyDescent="0.25">
      <c r="A17" s="9">
        <v>37855404714</v>
      </c>
      <c r="B17" s="1" t="s">
        <v>320</v>
      </c>
      <c r="C17" s="1" t="s">
        <v>318</v>
      </c>
      <c r="D17" s="3" t="s">
        <v>319</v>
      </c>
      <c r="E17" s="1" t="s">
        <v>321</v>
      </c>
      <c r="F17" s="1" t="s">
        <v>243</v>
      </c>
      <c r="G17" s="1" t="s">
        <v>322</v>
      </c>
      <c r="H17" s="1" t="s">
        <v>1018</v>
      </c>
      <c r="I17" s="5">
        <v>35185</v>
      </c>
      <c r="J17" s="1" t="s">
        <v>1075</v>
      </c>
      <c r="K17" s="1" t="s">
        <v>1069</v>
      </c>
      <c r="L17" s="5">
        <v>44012</v>
      </c>
      <c r="M17" s="1" t="s">
        <v>1132</v>
      </c>
    </row>
    <row r="18" spans="1:14" x14ac:dyDescent="0.25">
      <c r="A18" s="9">
        <v>16673314078</v>
      </c>
      <c r="B18" s="1" t="s">
        <v>325</v>
      </c>
      <c r="C18" s="1" t="s">
        <v>323</v>
      </c>
      <c r="D18" s="3" t="s">
        <v>324</v>
      </c>
      <c r="E18" s="1" t="s">
        <v>326</v>
      </c>
      <c r="F18" s="1" t="s">
        <v>243</v>
      </c>
      <c r="G18" s="1" t="s">
        <v>327</v>
      </c>
      <c r="H18" s="1" t="s">
        <v>1011</v>
      </c>
      <c r="I18" s="5">
        <v>33970</v>
      </c>
      <c r="J18" s="1" t="s">
        <v>1067</v>
      </c>
      <c r="K18" s="1" t="s">
        <v>357</v>
      </c>
      <c r="L18" s="5">
        <v>42911</v>
      </c>
      <c r="M18" s="1">
        <v>34148</v>
      </c>
    </row>
    <row r="19" spans="1:14" x14ac:dyDescent="0.25">
      <c r="A19" s="9">
        <v>20485675074</v>
      </c>
      <c r="B19" s="1" t="s">
        <v>330</v>
      </c>
      <c r="C19" s="1" t="s">
        <v>328</v>
      </c>
      <c r="D19" s="3" t="s">
        <v>329</v>
      </c>
      <c r="E19" s="1" t="s">
        <v>35</v>
      </c>
      <c r="F19" s="1" t="s">
        <v>272</v>
      </c>
      <c r="G19" s="1" t="s">
        <v>331</v>
      </c>
      <c r="H19" s="1" t="s">
        <v>1011</v>
      </c>
      <c r="I19" s="5">
        <v>32898</v>
      </c>
      <c r="J19" s="1" t="s">
        <v>1071</v>
      </c>
      <c r="K19" s="1" t="s">
        <v>1080</v>
      </c>
      <c r="L19" s="5">
        <v>40400</v>
      </c>
      <c r="M19" s="1">
        <v>547</v>
      </c>
    </row>
    <row r="20" spans="1:14" x14ac:dyDescent="0.25">
      <c r="A20" s="9">
        <v>18163287602</v>
      </c>
      <c r="B20" s="1" t="s">
        <v>57</v>
      </c>
      <c r="C20" s="1" t="s">
        <v>332</v>
      </c>
      <c r="D20" s="3" t="s">
        <v>333</v>
      </c>
      <c r="E20" s="1" t="s">
        <v>334</v>
      </c>
      <c r="F20" s="1" t="s">
        <v>236</v>
      </c>
      <c r="G20" s="1" t="s">
        <v>335</v>
      </c>
      <c r="H20" s="4"/>
      <c r="I20" s="5">
        <v>36014</v>
      </c>
      <c r="J20" s="1" t="s">
        <v>1076</v>
      </c>
      <c r="K20" s="1" t="s">
        <v>1080</v>
      </c>
      <c r="L20" s="5">
        <v>43873</v>
      </c>
      <c r="M20" s="1">
        <v>165771</v>
      </c>
    </row>
    <row r="21" spans="1:14" x14ac:dyDescent="0.25">
      <c r="A21" s="9">
        <v>17270107162</v>
      </c>
      <c r="B21" s="1" t="s">
        <v>338</v>
      </c>
      <c r="C21" s="1" t="s">
        <v>336</v>
      </c>
      <c r="D21" s="3" t="s">
        <v>337</v>
      </c>
      <c r="E21" s="1" t="s">
        <v>243</v>
      </c>
      <c r="F21" s="1" t="s">
        <v>339</v>
      </c>
      <c r="G21" s="1" t="s">
        <v>340</v>
      </c>
      <c r="H21" s="4"/>
      <c r="I21" s="5">
        <v>34152</v>
      </c>
      <c r="J21" s="1" t="s">
        <v>1077</v>
      </c>
      <c r="K21" s="1" t="s">
        <v>1069</v>
      </c>
      <c r="L21" s="5">
        <v>42736</v>
      </c>
      <c r="M21" s="1" t="s">
        <v>1133</v>
      </c>
    </row>
    <row r="22" spans="1:14" x14ac:dyDescent="0.25">
      <c r="A22" s="9">
        <v>14522068356</v>
      </c>
      <c r="B22" s="1" t="s">
        <v>343</v>
      </c>
      <c r="C22" s="1" t="s">
        <v>341</v>
      </c>
      <c r="D22" s="3" t="s">
        <v>342</v>
      </c>
      <c r="E22" s="1" t="s">
        <v>344</v>
      </c>
      <c r="F22" s="1" t="s">
        <v>345</v>
      </c>
      <c r="G22" s="1" t="s">
        <v>346</v>
      </c>
      <c r="H22" s="1" t="s">
        <v>1019</v>
      </c>
      <c r="I22" s="5">
        <v>27576</v>
      </c>
      <c r="J22" s="1" t="s">
        <v>1078</v>
      </c>
      <c r="K22" s="1" t="s">
        <v>1079</v>
      </c>
      <c r="L22" s="5">
        <v>34206</v>
      </c>
      <c r="M22" s="1">
        <v>27211</v>
      </c>
    </row>
    <row r="23" spans="1:14" x14ac:dyDescent="0.25">
      <c r="A23" s="9">
        <v>13352305068</v>
      </c>
      <c r="B23" s="1" t="s">
        <v>349</v>
      </c>
      <c r="C23" s="1" t="s">
        <v>347</v>
      </c>
      <c r="D23" s="3" t="s">
        <v>348</v>
      </c>
      <c r="E23" s="1" t="s">
        <v>279</v>
      </c>
      <c r="F23" s="1" t="s">
        <v>279</v>
      </c>
      <c r="G23" s="1" t="s">
        <v>350</v>
      </c>
      <c r="H23" s="1" t="s">
        <v>1020</v>
      </c>
      <c r="I23" s="5">
        <v>35203</v>
      </c>
      <c r="J23" s="1" t="s">
        <v>1081</v>
      </c>
      <c r="K23" s="1" t="s">
        <v>1080</v>
      </c>
      <c r="L23" s="10">
        <v>42898</v>
      </c>
      <c r="M23" s="4"/>
    </row>
    <row r="24" spans="1:14" x14ac:dyDescent="0.25">
      <c r="A24" s="9">
        <v>13856278820</v>
      </c>
      <c r="B24" s="1" t="s">
        <v>353</v>
      </c>
      <c r="C24" s="1" t="s">
        <v>351</v>
      </c>
      <c r="D24" s="3" t="s">
        <v>352</v>
      </c>
      <c r="E24" s="1" t="s">
        <v>354</v>
      </c>
      <c r="F24" s="1" t="s">
        <v>355</v>
      </c>
      <c r="G24" s="1" t="s">
        <v>356</v>
      </c>
      <c r="H24" s="1" t="s">
        <v>1012</v>
      </c>
      <c r="I24" s="5">
        <v>20719</v>
      </c>
      <c r="J24" s="1" t="s">
        <v>1067</v>
      </c>
      <c r="K24" s="1" t="s">
        <v>357</v>
      </c>
      <c r="L24" s="5">
        <v>29221</v>
      </c>
      <c r="M24" s="1">
        <v>19703</v>
      </c>
      <c r="N24" s="1" t="s">
        <v>358</v>
      </c>
    </row>
    <row r="25" spans="1:14" x14ac:dyDescent="0.25">
      <c r="A25" s="9">
        <v>13117894240</v>
      </c>
      <c r="B25" s="1" t="s">
        <v>361</v>
      </c>
      <c r="C25" s="1" t="s">
        <v>359</v>
      </c>
      <c r="D25" s="3" t="s">
        <v>360</v>
      </c>
      <c r="E25" s="1" t="s">
        <v>236</v>
      </c>
      <c r="F25" s="1" t="s">
        <v>362</v>
      </c>
      <c r="G25" s="1" t="s">
        <v>363</v>
      </c>
      <c r="H25" s="1" t="s">
        <v>1021</v>
      </c>
      <c r="I25" s="5">
        <v>36266</v>
      </c>
      <c r="J25" s="1" t="s">
        <v>1082</v>
      </c>
      <c r="K25" s="1" t="s">
        <v>1083</v>
      </c>
      <c r="L25" s="10">
        <v>43993</v>
      </c>
      <c r="M25" s="4"/>
    </row>
    <row r="26" spans="1:14" x14ac:dyDescent="0.25">
      <c r="A26" s="9">
        <v>24359170214</v>
      </c>
      <c r="B26" s="1" t="s">
        <v>64</v>
      </c>
      <c r="C26" s="1" t="s">
        <v>364</v>
      </c>
      <c r="D26" s="3" t="s">
        <v>365</v>
      </c>
      <c r="E26" s="1" t="s">
        <v>243</v>
      </c>
      <c r="F26" s="1" t="s">
        <v>321</v>
      </c>
      <c r="G26" s="1" t="s">
        <v>366</v>
      </c>
      <c r="H26" s="1" t="s">
        <v>1011</v>
      </c>
      <c r="I26" s="5">
        <v>33348</v>
      </c>
      <c r="J26" s="1" t="s">
        <v>1067</v>
      </c>
      <c r="K26" s="1" t="s">
        <v>357</v>
      </c>
      <c r="L26" s="5">
        <v>42540</v>
      </c>
      <c r="M26" s="1" t="s">
        <v>1134</v>
      </c>
    </row>
    <row r="27" spans="1:14" x14ac:dyDescent="0.25">
      <c r="A27" s="9">
        <v>60142116854</v>
      </c>
      <c r="B27" s="1" t="s">
        <v>369</v>
      </c>
      <c r="C27" s="1" t="s">
        <v>367</v>
      </c>
      <c r="D27" s="3" t="s">
        <v>368</v>
      </c>
      <c r="E27" s="1" t="s">
        <v>236</v>
      </c>
      <c r="F27" s="1" t="s">
        <v>236</v>
      </c>
      <c r="G27" s="1" t="s">
        <v>370</v>
      </c>
      <c r="H27" s="1" t="s">
        <v>1022</v>
      </c>
      <c r="I27" s="5">
        <v>27891</v>
      </c>
      <c r="J27" s="1" t="s">
        <v>1084</v>
      </c>
      <c r="K27" s="1" t="s">
        <v>1080</v>
      </c>
      <c r="L27" s="5">
        <v>35667</v>
      </c>
      <c r="M27" s="1">
        <v>140</v>
      </c>
    </row>
    <row r="28" spans="1:14" x14ac:dyDescent="0.25">
      <c r="A28" s="9">
        <v>20707846060</v>
      </c>
      <c r="B28" s="1" t="s">
        <v>371</v>
      </c>
      <c r="C28" s="1" t="s">
        <v>371</v>
      </c>
      <c r="D28" s="3" t="s">
        <v>372</v>
      </c>
      <c r="E28" s="1" t="s">
        <v>279</v>
      </c>
      <c r="F28" s="1" t="s">
        <v>373</v>
      </c>
      <c r="G28" s="1" t="s">
        <v>374</v>
      </c>
      <c r="H28" s="1" t="s">
        <v>1023</v>
      </c>
      <c r="I28" s="5">
        <v>30317</v>
      </c>
      <c r="J28" s="1" t="s">
        <v>1085</v>
      </c>
      <c r="K28" s="1" t="s">
        <v>1080</v>
      </c>
      <c r="L28" s="5">
        <v>39632</v>
      </c>
      <c r="M28" s="1">
        <v>29</v>
      </c>
    </row>
    <row r="29" spans="1:14" x14ac:dyDescent="0.25">
      <c r="A29" s="9">
        <v>30679636910</v>
      </c>
      <c r="B29" s="1" t="s">
        <v>66</v>
      </c>
      <c r="C29" s="1" t="s">
        <v>375</v>
      </c>
      <c r="D29" s="3" t="s">
        <v>376</v>
      </c>
      <c r="E29" s="1" t="s">
        <v>279</v>
      </c>
      <c r="F29" s="1" t="s">
        <v>236</v>
      </c>
      <c r="G29" s="1" t="s">
        <v>377</v>
      </c>
      <c r="H29" s="1" t="s">
        <v>1011</v>
      </c>
      <c r="I29" s="5">
        <v>33035</v>
      </c>
      <c r="J29" s="1" t="s">
        <v>1068</v>
      </c>
      <c r="K29" s="1" t="s">
        <v>1080</v>
      </c>
      <c r="L29" s="5">
        <v>40728</v>
      </c>
      <c r="M29" s="1">
        <v>969</v>
      </c>
    </row>
    <row r="30" spans="1:14" x14ac:dyDescent="0.25">
      <c r="A30" s="9">
        <v>33955916348</v>
      </c>
      <c r="B30" s="1" t="s">
        <v>68</v>
      </c>
      <c r="C30" s="1" t="s">
        <v>378</v>
      </c>
      <c r="D30" s="3" t="s">
        <v>379</v>
      </c>
      <c r="E30" s="1" t="s">
        <v>235</v>
      </c>
      <c r="F30" s="1" t="s">
        <v>380</v>
      </c>
      <c r="G30" s="1" t="s">
        <v>381</v>
      </c>
      <c r="H30" s="1" t="s">
        <v>1024</v>
      </c>
      <c r="I30" s="5">
        <v>32919</v>
      </c>
      <c r="J30" s="1" t="s">
        <v>1086</v>
      </c>
      <c r="K30" s="1" t="s">
        <v>1080</v>
      </c>
      <c r="L30" s="5">
        <v>40333</v>
      </c>
      <c r="M30" s="1">
        <v>907</v>
      </c>
    </row>
    <row r="31" spans="1:14" x14ac:dyDescent="0.25">
      <c r="A31" s="9">
        <v>41098254104</v>
      </c>
      <c r="B31" s="1" t="s">
        <v>384</v>
      </c>
      <c r="C31" s="1" t="s">
        <v>382</v>
      </c>
      <c r="D31" s="3" t="s">
        <v>383</v>
      </c>
      <c r="E31" s="1" t="s">
        <v>303</v>
      </c>
      <c r="F31" s="1" t="s">
        <v>243</v>
      </c>
      <c r="G31" s="1" t="s">
        <v>385</v>
      </c>
      <c r="H31" s="1" t="s">
        <v>1025</v>
      </c>
      <c r="I31" s="5">
        <v>34776</v>
      </c>
      <c r="J31" s="1" t="s">
        <v>1075</v>
      </c>
      <c r="K31" s="1" t="s">
        <v>1069</v>
      </c>
      <c r="L31" s="5">
        <v>43852</v>
      </c>
      <c r="M31" s="1" t="s">
        <v>1135</v>
      </c>
    </row>
    <row r="32" spans="1:14" x14ac:dyDescent="0.25">
      <c r="A32" s="9">
        <v>59701516396</v>
      </c>
      <c r="B32" s="1" t="s">
        <v>70</v>
      </c>
      <c r="C32" s="1" t="s">
        <v>386</v>
      </c>
      <c r="D32" s="3" t="s">
        <v>387</v>
      </c>
      <c r="E32" s="1" t="s">
        <v>388</v>
      </c>
      <c r="F32" s="1" t="s">
        <v>389</v>
      </c>
      <c r="G32" s="1" t="s">
        <v>390</v>
      </c>
      <c r="H32" s="1" t="s">
        <v>1011</v>
      </c>
      <c r="I32" s="5">
        <v>33095</v>
      </c>
      <c r="J32" s="1" t="s">
        <v>1068</v>
      </c>
      <c r="K32" s="1" t="s">
        <v>1080</v>
      </c>
      <c r="L32" s="5">
        <v>40347</v>
      </c>
      <c r="M32" s="1">
        <v>905</v>
      </c>
    </row>
    <row r="33" spans="1:14" x14ac:dyDescent="0.25">
      <c r="A33" s="9">
        <v>72499060568</v>
      </c>
      <c r="B33" s="1" t="s">
        <v>393</v>
      </c>
      <c r="C33" s="1" t="s">
        <v>391</v>
      </c>
      <c r="D33" s="3" t="s">
        <v>392</v>
      </c>
      <c r="E33" s="1" t="s">
        <v>394</v>
      </c>
      <c r="F33" s="1" t="s">
        <v>395</v>
      </c>
      <c r="G33" s="1" t="s">
        <v>396</v>
      </c>
      <c r="H33" s="1" t="s">
        <v>1011</v>
      </c>
      <c r="I33" s="5">
        <v>34127</v>
      </c>
      <c r="J33" s="1" t="s">
        <v>357</v>
      </c>
      <c r="K33" s="1" t="s">
        <v>357</v>
      </c>
      <c r="L33" s="5">
        <v>43492</v>
      </c>
      <c r="M33" s="1" t="s">
        <v>1143</v>
      </c>
    </row>
    <row r="34" spans="1:14" x14ac:dyDescent="0.25">
      <c r="A34" s="9">
        <v>27259973206</v>
      </c>
      <c r="B34" s="1" t="s">
        <v>78</v>
      </c>
      <c r="C34" s="1" t="s">
        <v>397</v>
      </c>
      <c r="D34" s="3" t="s">
        <v>398</v>
      </c>
      <c r="E34" s="1" t="s">
        <v>399</v>
      </c>
      <c r="F34" s="1" t="s">
        <v>400</v>
      </c>
      <c r="G34" s="1" t="s">
        <v>401</v>
      </c>
      <c r="H34" s="1" t="s">
        <v>1011</v>
      </c>
      <c r="I34" s="5">
        <v>34340</v>
      </c>
      <c r="J34" s="1" t="s">
        <v>1087</v>
      </c>
      <c r="K34" s="1" t="s">
        <v>1088</v>
      </c>
      <c r="L34" s="1"/>
      <c r="M34" s="1"/>
    </row>
    <row r="35" spans="1:14" x14ac:dyDescent="0.25">
      <c r="A35" s="9">
        <v>12247655530</v>
      </c>
      <c r="B35" s="1" t="s">
        <v>404</v>
      </c>
      <c r="C35" s="1" t="s">
        <v>402</v>
      </c>
      <c r="D35" s="3" t="s">
        <v>403</v>
      </c>
      <c r="E35" s="1" t="s">
        <v>278</v>
      </c>
      <c r="F35" s="1" t="s">
        <v>236</v>
      </c>
      <c r="G35" s="1" t="s">
        <v>405</v>
      </c>
      <c r="H35" s="1" t="s">
        <v>1026</v>
      </c>
      <c r="I35" s="5">
        <v>32258</v>
      </c>
      <c r="J35" s="1" t="s">
        <v>526</v>
      </c>
      <c r="K35" s="1" t="s">
        <v>1080</v>
      </c>
      <c r="L35" s="5">
        <v>39633</v>
      </c>
      <c r="M35" s="1">
        <v>841</v>
      </c>
    </row>
    <row r="36" spans="1:14" x14ac:dyDescent="0.25">
      <c r="A36" s="9">
        <v>31388172744</v>
      </c>
      <c r="B36" s="1" t="s">
        <v>83</v>
      </c>
      <c r="C36" s="1" t="s">
        <v>406</v>
      </c>
      <c r="D36" s="3" t="s">
        <v>407</v>
      </c>
      <c r="E36" s="1" t="s">
        <v>408</v>
      </c>
      <c r="F36" s="1" t="s">
        <v>409</v>
      </c>
      <c r="G36" s="1" t="s">
        <v>410</v>
      </c>
      <c r="H36" s="1" t="s">
        <v>1027</v>
      </c>
      <c r="I36" s="5">
        <v>35432</v>
      </c>
      <c r="J36" s="1" t="s">
        <v>411</v>
      </c>
      <c r="K36" s="1" t="s">
        <v>1080</v>
      </c>
      <c r="L36" s="5">
        <v>42894</v>
      </c>
      <c r="M36" s="1" t="s">
        <v>1136</v>
      </c>
    </row>
    <row r="37" spans="1:14" x14ac:dyDescent="0.25">
      <c r="A37" s="9">
        <v>31531851298</v>
      </c>
      <c r="B37" s="1" t="s">
        <v>414</v>
      </c>
      <c r="C37" s="1" t="s">
        <v>412</v>
      </c>
      <c r="D37" s="3" t="s">
        <v>413</v>
      </c>
      <c r="E37" s="1" t="s">
        <v>345</v>
      </c>
      <c r="F37" s="1" t="s">
        <v>345</v>
      </c>
      <c r="G37" s="1" t="s">
        <v>415</v>
      </c>
      <c r="H37" s="1" t="s">
        <v>1011</v>
      </c>
      <c r="I37" s="5">
        <v>31072</v>
      </c>
      <c r="J37" s="1" t="s">
        <v>416</v>
      </c>
      <c r="K37" s="1"/>
      <c r="L37" s="1"/>
      <c r="M37" s="1"/>
    </row>
    <row r="38" spans="1:14" x14ac:dyDescent="0.25">
      <c r="A38" s="9">
        <v>20564739512</v>
      </c>
      <c r="B38" s="1" t="s">
        <v>87</v>
      </c>
      <c r="C38" s="1" t="s">
        <v>417</v>
      </c>
      <c r="D38" s="3" t="s">
        <v>418</v>
      </c>
      <c r="E38" s="1" t="s">
        <v>236</v>
      </c>
      <c r="F38" s="1" t="s">
        <v>235</v>
      </c>
      <c r="G38" s="1" t="s">
        <v>419</v>
      </c>
      <c r="H38" s="1" t="s">
        <v>1028</v>
      </c>
      <c r="I38" s="5">
        <v>25934</v>
      </c>
      <c r="J38" s="1" t="s">
        <v>1100</v>
      </c>
      <c r="K38" s="1" t="s">
        <v>1080</v>
      </c>
      <c r="L38" s="5">
        <v>35997</v>
      </c>
      <c r="M38" s="1">
        <v>61</v>
      </c>
    </row>
    <row r="39" spans="1:14" x14ac:dyDescent="0.25">
      <c r="A39" s="9">
        <v>27422435302</v>
      </c>
      <c r="B39" s="1" t="s">
        <v>422</v>
      </c>
      <c r="C39" s="1" t="s">
        <v>420</v>
      </c>
      <c r="D39" s="3" t="s">
        <v>421</v>
      </c>
      <c r="E39" s="1" t="s">
        <v>423</v>
      </c>
      <c r="F39" s="1" t="s">
        <v>424</v>
      </c>
      <c r="G39" s="1" t="s">
        <v>425</v>
      </c>
      <c r="H39" s="1" t="s">
        <v>1029</v>
      </c>
      <c r="I39" s="5">
        <v>25905</v>
      </c>
      <c r="J39" s="1" t="s">
        <v>526</v>
      </c>
      <c r="K39" s="1" t="s">
        <v>1080</v>
      </c>
      <c r="L39" s="5">
        <v>33959</v>
      </c>
      <c r="M39" s="1">
        <v>99</v>
      </c>
    </row>
    <row r="40" spans="1:14" x14ac:dyDescent="0.25">
      <c r="A40" s="9">
        <v>56704599364</v>
      </c>
      <c r="B40" s="1" t="s">
        <v>428</v>
      </c>
      <c r="C40" s="1" t="s">
        <v>426</v>
      </c>
      <c r="D40" s="3" t="s">
        <v>427</v>
      </c>
      <c r="E40" s="1" t="s">
        <v>429</v>
      </c>
      <c r="F40" s="1" t="s">
        <v>243</v>
      </c>
      <c r="G40" s="1" t="s">
        <v>430</v>
      </c>
      <c r="H40" s="4"/>
      <c r="I40" s="5">
        <v>33786</v>
      </c>
      <c r="J40" s="1" t="s">
        <v>526</v>
      </c>
      <c r="K40" s="1" t="s">
        <v>357</v>
      </c>
      <c r="L40" s="5">
        <v>42540</v>
      </c>
      <c r="M40" s="1" t="s">
        <v>1142</v>
      </c>
      <c r="N40" s="1" t="s">
        <v>431</v>
      </c>
    </row>
    <row r="41" spans="1:14" x14ac:dyDescent="0.25">
      <c r="A41" s="9">
        <v>37900666760</v>
      </c>
      <c r="B41" s="1" t="s">
        <v>434</v>
      </c>
      <c r="C41" s="1" t="s">
        <v>432</v>
      </c>
      <c r="D41" s="3" t="s">
        <v>433</v>
      </c>
      <c r="E41" s="1" t="s">
        <v>435</v>
      </c>
      <c r="F41" s="1" t="s">
        <v>436</v>
      </c>
      <c r="G41" s="1" t="s">
        <v>437</v>
      </c>
      <c r="H41" s="1" t="s">
        <v>1030</v>
      </c>
      <c r="I41" s="5">
        <v>33436</v>
      </c>
      <c r="J41" s="1" t="s">
        <v>1101</v>
      </c>
      <c r="K41" s="1" t="s">
        <v>1069</v>
      </c>
      <c r="L41" s="5">
        <v>42566</v>
      </c>
      <c r="M41" s="1">
        <v>201604963</v>
      </c>
    </row>
    <row r="42" spans="1:14" x14ac:dyDescent="0.25">
      <c r="A42" s="9">
        <v>24613311988</v>
      </c>
      <c r="B42" s="1" t="s">
        <v>90</v>
      </c>
      <c r="C42" s="1" t="s">
        <v>438</v>
      </c>
      <c r="D42" s="3" t="s">
        <v>439</v>
      </c>
      <c r="E42" s="1" t="s">
        <v>440</v>
      </c>
      <c r="F42" s="1" t="s">
        <v>441</v>
      </c>
      <c r="G42" s="1" t="s">
        <v>442</v>
      </c>
      <c r="H42" s="1" t="s">
        <v>1011</v>
      </c>
      <c r="I42" s="5">
        <v>35949</v>
      </c>
      <c r="J42" s="1" t="s">
        <v>1084</v>
      </c>
      <c r="K42" s="1" t="s">
        <v>1080</v>
      </c>
      <c r="L42" s="5">
        <v>44242</v>
      </c>
      <c r="M42" s="1" t="s">
        <v>1139</v>
      </c>
    </row>
    <row r="43" spans="1:14" x14ac:dyDescent="0.25">
      <c r="A43" s="9">
        <v>45238830586</v>
      </c>
      <c r="B43" s="1" t="s">
        <v>445</v>
      </c>
      <c r="C43" s="1" t="s">
        <v>443</v>
      </c>
      <c r="D43" s="3" t="s">
        <v>444</v>
      </c>
      <c r="E43" s="1" t="s">
        <v>446</v>
      </c>
      <c r="F43" s="1" t="s">
        <v>441</v>
      </c>
      <c r="G43" s="1" t="s">
        <v>405</v>
      </c>
      <c r="H43" s="1" t="s">
        <v>1031</v>
      </c>
      <c r="I43" s="5">
        <v>32538</v>
      </c>
      <c r="J43" s="1" t="s">
        <v>447</v>
      </c>
      <c r="K43" s="1" t="s">
        <v>1080</v>
      </c>
      <c r="L43" s="5">
        <v>42185</v>
      </c>
      <c r="M43" s="1" t="s">
        <v>1144</v>
      </c>
    </row>
    <row r="44" spans="1:14" x14ac:dyDescent="0.25">
      <c r="A44" s="9">
        <v>54415383272</v>
      </c>
      <c r="B44" s="1" t="s">
        <v>93</v>
      </c>
      <c r="C44" s="1" t="s">
        <v>448</v>
      </c>
      <c r="D44" s="3" t="s">
        <v>449</v>
      </c>
      <c r="E44" s="1" t="s">
        <v>235</v>
      </c>
      <c r="F44" s="1" t="s">
        <v>236</v>
      </c>
      <c r="G44" s="1" t="s">
        <v>450</v>
      </c>
      <c r="H44" s="4"/>
      <c r="I44" s="5">
        <v>31243</v>
      </c>
      <c r="J44" s="1" t="s">
        <v>526</v>
      </c>
      <c r="K44" s="1" t="s">
        <v>1089</v>
      </c>
      <c r="L44" s="5">
        <v>39268</v>
      </c>
      <c r="M44" s="1">
        <v>819</v>
      </c>
    </row>
    <row r="45" spans="1:14" x14ac:dyDescent="0.25">
      <c r="A45" s="9">
        <v>22841362222</v>
      </c>
      <c r="B45" s="1" t="s">
        <v>453</v>
      </c>
      <c r="C45" s="1" t="s">
        <v>451</v>
      </c>
      <c r="D45" s="3" t="s">
        <v>452</v>
      </c>
      <c r="E45" s="1" t="s">
        <v>279</v>
      </c>
      <c r="F45" s="1" t="s">
        <v>279</v>
      </c>
      <c r="G45" s="1" t="s">
        <v>454</v>
      </c>
      <c r="H45" s="4"/>
      <c r="I45" s="5">
        <v>29910</v>
      </c>
      <c r="J45" s="1" t="s">
        <v>455</v>
      </c>
      <c r="K45" s="1" t="s">
        <v>1069</v>
      </c>
      <c r="L45" s="10">
        <v>38506</v>
      </c>
      <c r="M45" s="4"/>
    </row>
    <row r="46" spans="1:14" x14ac:dyDescent="0.25">
      <c r="A46" s="9">
        <v>50830192468</v>
      </c>
      <c r="B46" s="1" t="s">
        <v>458</v>
      </c>
      <c r="C46" s="1" t="s">
        <v>456</v>
      </c>
      <c r="D46" s="3" t="s">
        <v>457</v>
      </c>
      <c r="E46" s="1" t="s">
        <v>235</v>
      </c>
      <c r="F46" s="1" t="s">
        <v>260</v>
      </c>
      <c r="G46" s="1" t="s">
        <v>459</v>
      </c>
      <c r="H46" s="1" t="s">
        <v>1032</v>
      </c>
      <c r="I46" s="5">
        <v>31048</v>
      </c>
      <c r="J46" s="1" t="s">
        <v>1084</v>
      </c>
      <c r="K46" s="1" t="s">
        <v>1092</v>
      </c>
      <c r="L46" s="5">
        <v>43139</v>
      </c>
      <c r="M46" s="1" t="s">
        <v>1140</v>
      </c>
    </row>
    <row r="47" spans="1:14" x14ac:dyDescent="0.25">
      <c r="A47" s="9">
        <v>21572485576</v>
      </c>
      <c r="B47" s="1" t="s">
        <v>462</v>
      </c>
      <c r="C47" s="1" t="s">
        <v>460</v>
      </c>
      <c r="D47" s="3" t="s">
        <v>461</v>
      </c>
      <c r="E47" s="1" t="s">
        <v>243</v>
      </c>
      <c r="F47" s="1" t="s">
        <v>243</v>
      </c>
      <c r="G47" s="1" t="s">
        <v>463</v>
      </c>
      <c r="H47" s="1" t="s">
        <v>1033</v>
      </c>
      <c r="I47" s="5">
        <v>33970</v>
      </c>
      <c r="J47" s="1" t="s">
        <v>526</v>
      </c>
      <c r="K47" s="1" t="s">
        <v>357</v>
      </c>
      <c r="L47" s="5">
        <v>42911</v>
      </c>
      <c r="M47" s="1" t="s">
        <v>1145</v>
      </c>
    </row>
    <row r="48" spans="1:14" x14ac:dyDescent="0.25">
      <c r="A48" s="9">
        <v>52498467858</v>
      </c>
      <c r="B48" s="1" t="s">
        <v>466</v>
      </c>
      <c r="C48" s="1" t="s">
        <v>464</v>
      </c>
      <c r="D48" s="3" t="s">
        <v>465</v>
      </c>
      <c r="E48" s="1" t="s">
        <v>321</v>
      </c>
      <c r="F48" s="1" t="s">
        <v>321</v>
      </c>
      <c r="G48" s="1" t="s">
        <v>467</v>
      </c>
      <c r="H48" s="1" t="s">
        <v>1034</v>
      </c>
      <c r="I48" s="5">
        <v>34335</v>
      </c>
      <c r="J48" s="1" t="s">
        <v>526</v>
      </c>
      <c r="K48" s="1" t="s">
        <v>1069</v>
      </c>
      <c r="L48" s="5">
        <v>42923</v>
      </c>
      <c r="M48" s="1" t="s">
        <v>1146</v>
      </c>
    </row>
    <row r="49" spans="1:14" x14ac:dyDescent="0.25">
      <c r="A49" s="9">
        <v>39511597594</v>
      </c>
      <c r="B49" s="1" t="s">
        <v>470</v>
      </c>
      <c r="C49" s="1" t="s">
        <v>468</v>
      </c>
      <c r="D49" s="3" t="s">
        <v>469</v>
      </c>
      <c r="E49" s="1" t="s">
        <v>236</v>
      </c>
      <c r="F49" s="1" t="s">
        <v>260</v>
      </c>
      <c r="G49" s="1" t="s">
        <v>471</v>
      </c>
      <c r="H49" s="1" t="s">
        <v>1011</v>
      </c>
      <c r="I49" s="5">
        <v>32987</v>
      </c>
      <c r="J49" s="1" t="s">
        <v>1091</v>
      </c>
      <c r="K49" s="1" t="s">
        <v>1080</v>
      </c>
      <c r="L49" s="5">
        <v>41663</v>
      </c>
      <c r="M49" s="1" t="s">
        <v>1147</v>
      </c>
      <c r="N49" t="s">
        <v>1093</v>
      </c>
    </row>
    <row r="50" spans="1:14" x14ac:dyDescent="0.25">
      <c r="A50" s="9">
        <v>3735474786</v>
      </c>
      <c r="B50" s="1" t="s">
        <v>474</v>
      </c>
      <c r="C50" s="1" t="s">
        <v>472</v>
      </c>
      <c r="D50" s="3" t="s">
        <v>473</v>
      </c>
      <c r="E50" s="1" t="s">
        <v>260</v>
      </c>
      <c r="F50" s="1" t="s">
        <v>400</v>
      </c>
      <c r="G50" s="1" t="s">
        <v>475</v>
      </c>
      <c r="H50" s="1" t="s">
        <v>1011</v>
      </c>
      <c r="I50" s="5"/>
      <c r="J50" s="1" t="s">
        <v>526</v>
      </c>
      <c r="K50" s="1" t="s">
        <v>1089</v>
      </c>
      <c r="L50" s="5">
        <v>34232</v>
      </c>
      <c r="M50" s="1">
        <v>163</v>
      </c>
    </row>
    <row r="51" spans="1:14" x14ac:dyDescent="0.25">
      <c r="A51" s="9">
        <v>19093830272</v>
      </c>
      <c r="B51" s="1" t="s">
        <v>478</v>
      </c>
      <c r="C51" s="1" t="s">
        <v>476</v>
      </c>
      <c r="D51" s="3" t="s">
        <v>477</v>
      </c>
      <c r="E51" s="1" t="s">
        <v>409</v>
      </c>
      <c r="F51" s="1" t="s">
        <v>409</v>
      </c>
      <c r="G51" s="1" t="s">
        <v>479</v>
      </c>
      <c r="H51" s="1" t="s">
        <v>1035</v>
      </c>
      <c r="I51" s="5">
        <v>36512</v>
      </c>
      <c r="J51" s="1" t="s">
        <v>480</v>
      </c>
      <c r="K51" s="1" t="s">
        <v>1092</v>
      </c>
      <c r="L51" s="1"/>
      <c r="M51" s="1"/>
    </row>
    <row r="52" spans="1:14" x14ac:dyDescent="0.25">
      <c r="A52" s="9">
        <v>58003101996</v>
      </c>
      <c r="B52" s="1" t="s">
        <v>107</v>
      </c>
      <c r="C52" s="1" t="s">
        <v>481</v>
      </c>
      <c r="D52" s="3" t="s">
        <v>482</v>
      </c>
      <c r="E52" s="1" t="s">
        <v>483</v>
      </c>
      <c r="F52" s="1" t="s">
        <v>484</v>
      </c>
      <c r="G52" s="1" t="s">
        <v>485</v>
      </c>
      <c r="H52" s="1" t="s">
        <v>1036</v>
      </c>
      <c r="I52" s="5">
        <v>34826</v>
      </c>
      <c r="J52" s="1" t="s">
        <v>526</v>
      </c>
      <c r="K52" s="1" t="s">
        <v>357</v>
      </c>
      <c r="L52" s="5">
        <v>44220</v>
      </c>
      <c r="M52" s="1" t="s">
        <v>1148</v>
      </c>
    </row>
    <row r="53" spans="1:14" x14ac:dyDescent="0.25">
      <c r="A53" s="9">
        <v>11113132182</v>
      </c>
      <c r="B53" s="1" t="s">
        <v>488</v>
      </c>
      <c r="C53" s="1" t="s">
        <v>486</v>
      </c>
      <c r="D53" s="3" t="s">
        <v>487</v>
      </c>
      <c r="E53" s="1" t="s">
        <v>235</v>
      </c>
      <c r="F53" s="1" t="s">
        <v>272</v>
      </c>
      <c r="G53" s="1" t="s">
        <v>489</v>
      </c>
      <c r="H53" s="1" t="s">
        <v>1037</v>
      </c>
      <c r="I53" s="5">
        <v>25836</v>
      </c>
      <c r="J53" s="1" t="s">
        <v>526</v>
      </c>
      <c r="K53" s="1" t="s">
        <v>1089</v>
      </c>
      <c r="L53" s="5">
        <v>33239</v>
      </c>
      <c r="M53" s="1">
        <v>115</v>
      </c>
    </row>
    <row r="54" spans="1:14" x14ac:dyDescent="0.25">
      <c r="A54" s="9">
        <v>12056674562</v>
      </c>
      <c r="B54" s="1" t="s">
        <v>112</v>
      </c>
      <c r="C54" s="1" t="s">
        <v>490</v>
      </c>
      <c r="D54" s="3" t="s">
        <v>491</v>
      </c>
      <c r="E54" s="1" t="s">
        <v>235</v>
      </c>
      <c r="F54" s="1" t="s">
        <v>236</v>
      </c>
      <c r="G54" s="1" t="s">
        <v>492</v>
      </c>
      <c r="H54" s="1" t="s">
        <v>493</v>
      </c>
      <c r="I54" s="5"/>
      <c r="J54" s="1" t="s">
        <v>1102</v>
      </c>
      <c r="K54" s="1" t="s">
        <v>1092</v>
      </c>
      <c r="L54" s="5">
        <v>39511</v>
      </c>
      <c r="M54" s="1">
        <v>867040003</v>
      </c>
    </row>
    <row r="55" spans="1:14" x14ac:dyDescent="0.25">
      <c r="A55" s="9">
        <v>24637635220</v>
      </c>
      <c r="B55" s="1" t="s">
        <v>496</v>
      </c>
      <c r="C55" s="1" t="s">
        <v>494</v>
      </c>
      <c r="D55" s="3" t="s">
        <v>495</v>
      </c>
      <c r="E55" s="1" t="s">
        <v>243</v>
      </c>
      <c r="F55" s="1" t="s">
        <v>309</v>
      </c>
      <c r="G55" s="1" t="s">
        <v>497</v>
      </c>
      <c r="H55" s="1" t="s">
        <v>1033</v>
      </c>
      <c r="I55" s="5">
        <v>35295</v>
      </c>
      <c r="J55" s="1" t="s">
        <v>526</v>
      </c>
      <c r="K55" s="1" t="s">
        <v>1090</v>
      </c>
      <c r="L55" s="5">
        <v>44400</v>
      </c>
      <c r="M55" s="1" t="s">
        <v>1149</v>
      </c>
    </row>
    <row r="56" spans="1:14" x14ac:dyDescent="0.25">
      <c r="A56" s="9">
        <v>33242241696</v>
      </c>
      <c r="B56" s="1" t="s">
        <v>500</v>
      </c>
      <c r="C56" s="1" t="s">
        <v>498</v>
      </c>
      <c r="D56" s="3" t="s">
        <v>499</v>
      </c>
      <c r="E56" s="1" t="s">
        <v>501</v>
      </c>
      <c r="F56" s="1" t="s">
        <v>501</v>
      </c>
      <c r="G56" s="1" t="s">
        <v>502</v>
      </c>
      <c r="H56" s="1"/>
      <c r="I56" s="5">
        <v>36307</v>
      </c>
      <c r="J56" s="1" t="s">
        <v>503</v>
      </c>
      <c r="K56" s="1" t="s">
        <v>1080</v>
      </c>
      <c r="L56" s="5">
        <v>42736</v>
      </c>
      <c r="M56" s="1"/>
    </row>
    <row r="57" spans="1:14" x14ac:dyDescent="0.25">
      <c r="A57" s="9">
        <v>15095653802</v>
      </c>
      <c r="B57" s="1" t="s">
        <v>506</v>
      </c>
      <c r="C57" s="1" t="s">
        <v>504</v>
      </c>
      <c r="D57" s="3" t="s">
        <v>505</v>
      </c>
      <c r="E57" s="1" t="s">
        <v>235</v>
      </c>
      <c r="F57" s="1" t="s">
        <v>259</v>
      </c>
      <c r="G57" s="1" t="s">
        <v>507</v>
      </c>
      <c r="H57" s="4"/>
      <c r="I57" s="5">
        <v>28739</v>
      </c>
      <c r="J57" s="1" t="s">
        <v>1067</v>
      </c>
      <c r="K57" s="1" t="s">
        <v>1080</v>
      </c>
      <c r="L57" s="5">
        <v>35692</v>
      </c>
      <c r="M57" s="1">
        <v>853</v>
      </c>
    </row>
    <row r="58" spans="1:14" x14ac:dyDescent="0.25">
      <c r="A58" s="9">
        <v>12106428138</v>
      </c>
      <c r="B58" s="1" t="s">
        <v>510</v>
      </c>
      <c r="C58" s="1" t="s">
        <v>508</v>
      </c>
      <c r="D58" s="3" t="s">
        <v>509</v>
      </c>
      <c r="E58" s="1" t="s">
        <v>511</v>
      </c>
      <c r="F58" s="1" t="s">
        <v>511</v>
      </c>
      <c r="G58" s="1" t="s">
        <v>512</v>
      </c>
      <c r="H58" s="1" t="s">
        <v>1038</v>
      </c>
      <c r="I58" s="5">
        <v>36192</v>
      </c>
      <c r="J58" s="1" t="s">
        <v>513</v>
      </c>
      <c r="K58" s="1" t="s">
        <v>1096</v>
      </c>
      <c r="L58" s="5">
        <v>42736</v>
      </c>
      <c r="M58" s="1"/>
    </row>
    <row r="59" spans="1:14" x14ac:dyDescent="0.25">
      <c r="A59" s="9">
        <v>11828330422</v>
      </c>
      <c r="B59" s="1" t="s">
        <v>119</v>
      </c>
      <c r="C59" s="1" t="s">
        <v>514</v>
      </c>
      <c r="D59" s="3" t="s">
        <v>515</v>
      </c>
      <c r="E59" s="1" t="s">
        <v>516</v>
      </c>
      <c r="F59" s="1" t="s">
        <v>517</v>
      </c>
      <c r="G59" s="1" t="s">
        <v>518</v>
      </c>
      <c r="H59" s="1" t="s">
        <v>1039</v>
      </c>
      <c r="I59" s="5">
        <v>26726</v>
      </c>
      <c r="J59" s="1" t="s">
        <v>1103</v>
      </c>
      <c r="K59" s="1" t="s">
        <v>1104</v>
      </c>
      <c r="L59" s="5">
        <v>35796</v>
      </c>
      <c r="M59" s="1"/>
    </row>
    <row r="60" spans="1:14" x14ac:dyDescent="0.25">
      <c r="A60" s="9">
        <v>15311539446</v>
      </c>
      <c r="B60" s="1" t="s">
        <v>524</v>
      </c>
      <c r="C60" s="1" t="s">
        <v>522</v>
      </c>
      <c r="D60" s="3" t="s">
        <v>523</v>
      </c>
      <c r="E60" s="1" t="s">
        <v>278</v>
      </c>
      <c r="F60" s="1" t="s">
        <v>279</v>
      </c>
      <c r="G60" s="1" t="s">
        <v>525</v>
      </c>
      <c r="H60" s="1" t="s">
        <v>1040</v>
      </c>
      <c r="I60" s="5">
        <v>28834</v>
      </c>
      <c r="J60" s="1" t="s">
        <v>526</v>
      </c>
      <c r="K60" s="1" t="s">
        <v>1089</v>
      </c>
      <c r="L60" s="5">
        <v>35944</v>
      </c>
      <c r="M60" s="1">
        <v>421</v>
      </c>
    </row>
    <row r="61" spans="1:14" x14ac:dyDescent="0.25">
      <c r="A61" s="9">
        <v>22121568030</v>
      </c>
      <c r="B61" s="1" t="s">
        <v>123</v>
      </c>
      <c r="C61" s="1" t="s">
        <v>527</v>
      </c>
      <c r="D61" s="3" t="s">
        <v>528</v>
      </c>
      <c r="E61" s="1" t="s">
        <v>501</v>
      </c>
      <c r="F61" s="1" t="s">
        <v>501</v>
      </c>
      <c r="G61" s="1" t="s">
        <v>529</v>
      </c>
      <c r="H61" s="1" t="s">
        <v>1041</v>
      </c>
      <c r="I61" s="5">
        <v>32806</v>
      </c>
      <c r="J61" s="1" t="s">
        <v>530</v>
      </c>
      <c r="K61" s="1" t="s">
        <v>1080</v>
      </c>
      <c r="L61" s="5">
        <v>39612</v>
      </c>
      <c r="M61" s="1">
        <v>78</v>
      </c>
    </row>
    <row r="62" spans="1:14" x14ac:dyDescent="0.25">
      <c r="A62" s="9">
        <v>40522140952</v>
      </c>
      <c r="B62" s="1" t="s">
        <v>124</v>
      </c>
      <c r="C62" s="1" t="s">
        <v>531</v>
      </c>
      <c r="D62" s="3" t="s">
        <v>532</v>
      </c>
      <c r="E62" s="1" t="s">
        <v>321</v>
      </c>
      <c r="F62" s="1" t="s">
        <v>243</v>
      </c>
      <c r="G62" s="1" t="s">
        <v>533</v>
      </c>
      <c r="H62" s="1" t="s">
        <v>1042</v>
      </c>
      <c r="I62" s="5">
        <v>35255</v>
      </c>
      <c r="J62" s="1" t="s">
        <v>534</v>
      </c>
      <c r="K62" s="1" t="s">
        <v>1090</v>
      </c>
      <c r="L62" s="5">
        <v>44075</v>
      </c>
      <c r="M62" s="1">
        <v>15951</v>
      </c>
    </row>
    <row r="63" spans="1:14" x14ac:dyDescent="0.25">
      <c r="A63" s="9">
        <v>10284016888</v>
      </c>
      <c r="B63" s="1" t="s">
        <v>537</v>
      </c>
      <c r="C63" s="1" t="s">
        <v>535</v>
      </c>
      <c r="D63" s="3" t="s">
        <v>536</v>
      </c>
      <c r="E63" s="1" t="s">
        <v>236</v>
      </c>
      <c r="F63" s="1" t="s">
        <v>260</v>
      </c>
      <c r="G63" s="1" t="s">
        <v>521</v>
      </c>
      <c r="H63" s="1" t="s">
        <v>1011</v>
      </c>
      <c r="I63" s="5">
        <v>35648</v>
      </c>
      <c r="J63" s="1" t="s">
        <v>538</v>
      </c>
      <c r="K63" s="1" t="s">
        <v>1092</v>
      </c>
      <c r="L63" s="5">
        <v>43251</v>
      </c>
      <c r="M63" s="1">
        <v>20170727007</v>
      </c>
    </row>
    <row r="64" spans="1:14" x14ac:dyDescent="0.25">
      <c r="A64" s="9">
        <v>11387331502</v>
      </c>
      <c r="B64" s="1" t="s">
        <v>541</v>
      </c>
      <c r="C64" s="1" t="s">
        <v>539</v>
      </c>
      <c r="D64" s="3" t="s">
        <v>540</v>
      </c>
      <c r="E64" s="1" t="s">
        <v>542</v>
      </c>
      <c r="F64" s="1" t="s">
        <v>543</v>
      </c>
      <c r="G64" s="1" t="s">
        <v>544</v>
      </c>
      <c r="H64" s="1" t="s">
        <v>1043</v>
      </c>
      <c r="I64" s="5">
        <v>30748</v>
      </c>
      <c r="J64" s="1" t="s">
        <v>1099</v>
      </c>
      <c r="K64" s="1" t="s">
        <v>1090</v>
      </c>
      <c r="L64" s="5">
        <v>40020</v>
      </c>
      <c r="M64" s="1">
        <v>12376</v>
      </c>
      <c r="N64" s="1" t="s">
        <v>545</v>
      </c>
    </row>
    <row r="65" spans="1:14" x14ac:dyDescent="0.25">
      <c r="A65" s="9">
        <v>17726816020</v>
      </c>
      <c r="B65" s="1" t="s">
        <v>548</v>
      </c>
      <c r="C65" s="1" t="s">
        <v>546</v>
      </c>
      <c r="D65" s="3" t="s">
        <v>547</v>
      </c>
      <c r="E65" s="1" t="s">
        <v>549</v>
      </c>
      <c r="F65" s="1" t="s">
        <v>321</v>
      </c>
      <c r="G65" s="1" t="s">
        <v>550</v>
      </c>
      <c r="H65" s="4"/>
      <c r="I65" s="5">
        <v>33639</v>
      </c>
      <c r="J65" s="1" t="s">
        <v>526</v>
      </c>
      <c r="K65" s="1" t="s">
        <v>1090</v>
      </c>
      <c r="L65" s="5">
        <v>42923</v>
      </c>
      <c r="M65" s="1">
        <v>14838</v>
      </c>
    </row>
    <row r="66" spans="1:14" x14ac:dyDescent="0.25">
      <c r="A66" s="9">
        <v>19640207694</v>
      </c>
      <c r="B66" s="1" t="s">
        <v>553</v>
      </c>
      <c r="C66" s="1" t="s">
        <v>551</v>
      </c>
      <c r="D66" s="3" t="s">
        <v>552</v>
      </c>
      <c r="E66" s="1" t="s">
        <v>235</v>
      </c>
      <c r="F66" s="1" t="s">
        <v>260</v>
      </c>
      <c r="G66" s="1" t="s">
        <v>554</v>
      </c>
      <c r="H66" s="1" t="s">
        <v>1011</v>
      </c>
      <c r="I66" s="5">
        <v>26458</v>
      </c>
      <c r="J66" s="1" t="s">
        <v>526</v>
      </c>
      <c r="K66" s="1" t="s">
        <v>1080</v>
      </c>
      <c r="L66" s="10">
        <v>36917</v>
      </c>
      <c r="M66" s="4"/>
    </row>
    <row r="67" spans="1:14" x14ac:dyDescent="0.25">
      <c r="A67" s="9">
        <v>41920082950</v>
      </c>
      <c r="B67" s="1" t="s">
        <v>557</v>
      </c>
      <c r="C67" s="1" t="s">
        <v>555</v>
      </c>
      <c r="D67" s="3" t="s">
        <v>556</v>
      </c>
      <c r="E67" s="1" t="s">
        <v>243</v>
      </c>
      <c r="F67" s="1" t="s">
        <v>558</v>
      </c>
      <c r="G67" s="1" t="s">
        <v>559</v>
      </c>
      <c r="H67" s="1" t="s">
        <v>1044</v>
      </c>
      <c r="I67" s="5">
        <v>34915</v>
      </c>
      <c r="J67" s="1" t="s">
        <v>526</v>
      </c>
      <c r="K67" s="1" t="s">
        <v>357</v>
      </c>
      <c r="L67" s="5">
        <v>43653</v>
      </c>
      <c r="M67" s="1"/>
      <c r="N67" s="1" t="s">
        <v>560</v>
      </c>
    </row>
    <row r="68" spans="1:14" x14ac:dyDescent="0.25">
      <c r="A68" s="9">
        <v>19091230050</v>
      </c>
      <c r="B68" s="1" t="s">
        <v>132</v>
      </c>
      <c r="C68" s="1" t="s">
        <v>561</v>
      </c>
      <c r="D68" s="3" t="s">
        <v>562</v>
      </c>
      <c r="E68" s="1" t="s">
        <v>235</v>
      </c>
      <c r="F68" s="1" t="s">
        <v>255</v>
      </c>
      <c r="G68" s="1" t="s">
        <v>563</v>
      </c>
      <c r="H68" s="1" t="s">
        <v>1011</v>
      </c>
      <c r="I68" s="5">
        <v>29653</v>
      </c>
      <c r="J68" s="1" t="s">
        <v>564</v>
      </c>
      <c r="K68" s="1" t="s">
        <v>1092</v>
      </c>
      <c r="L68" s="5">
        <v>37785</v>
      </c>
      <c r="M68" s="1">
        <v>138</v>
      </c>
    </row>
    <row r="69" spans="1:14" x14ac:dyDescent="0.25">
      <c r="A69" s="9">
        <v>37921103466</v>
      </c>
      <c r="B69" s="1" t="s">
        <v>133</v>
      </c>
      <c r="C69" s="1" t="s">
        <v>565</v>
      </c>
      <c r="D69" s="3" t="s">
        <v>566</v>
      </c>
      <c r="E69" s="1" t="s">
        <v>278</v>
      </c>
      <c r="F69" s="1" t="s">
        <v>236</v>
      </c>
      <c r="G69" s="1" t="s">
        <v>567</v>
      </c>
      <c r="H69" s="1" t="s">
        <v>1014</v>
      </c>
      <c r="I69" s="5">
        <v>32691</v>
      </c>
      <c r="J69" s="1" t="s">
        <v>1105</v>
      </c>
      <c r="K69" s="1" t="s">
        <v>1095</v>
      </c>
      <c r="L69" s="5">
        <v>40354</v>
      </c>
      <c r="M69" s="1">
        <v>2105441556</v>
      </c>
    </row>
    <row r="70" spans="1:14" x14ac:dyDescent="0.25">
      <c r="A70" s="9">
        <v>30721987816</v>
      </c>
      <c r="B70" s="1" t="s">
        <v>135</v>
      </c>
      <c r="C70" s="1" t="s">
        <v>568</v>
      </c>
      <c r="D70" s="3" t="s">
        <v>569</v>
      </c>
      <c r="E70" s="1" t="s">
        <v>314</v>
      </c>
      <c r="F70" s="1" t="s">
        <v>243</v>
      </c>
      <c r="G70" s="1" t="s">
        <v>570</v>
      </c>
      <c r="H70" s="1" t="s">
        <v>1045</v>
      </c>
      <c r="I70" s="5">
        <v>27870</v>
      </c>
      <c r="J70" s="1" t="s">
        <v>526</v>
      </c>
      <c r="K70" s="1" t="s">
        <v>1069</v>
      </c>
      <c r="L70" s="5">
        <v>36455</v>
      </c>
      <c r="M70" s="1" t="s">
        <v>1151</v>
      </c>
      <c r="N70" s="1" t="s">
        <v>571</v>
      </c>
    </row>
    <row r="71" spans="1:14" x14ac:dyDescent="0.25">
      <c r="A71" s="9">
        <v>13748460722</v>
      </c>
      <c r="B71" s="1" t="s">
        <v>574</v>
      </c>
      <c r="C71" s="1" t="s">
        <v>572</v>
      </c>
      <c r="D71" s="3" t="s">
        <v>573</v>
      </c>
      <c r="E71" s="1" t="s">
        <v>575</v>
      </c>
      <c r="F71" s="1" t="s">
        <v>576</v>
      </c>
      <c r="G71" s="1" t="s">
        <v>577</v>
      </c>
      <c r="H71" s="1" t="s">
        <v>1046</v>
      </c>
      <c r="I71" s="5">
        <v>29294</v>
      </c>
      <c r="J71" s="1" t="s">
        <v>1106</v>
      </c>
      <c r="K71" s="1" t="s">
        <v>1069</v>
      </c>
      <c r="L71" s="5">
        <v>38168</v>
      </c>
      <c r="M71" s="1">
        <v>118867</v>
      </c>
      <c r="N71" s="1" t="s">
        <v>578</v>
      </c>
    </row>
    <row r="72" spans="1:14" x14ac:dyDescent="0.25">
      <c r="A72" s="9">
        <v>48055109934</v>
      </c>
      <c r="B72" s="1" t="s">
        <v>581</v>
      </c>
      <c r="C72" s="1" t="s">
        <v>579</v>
      </c>
      <c r="D72" s="3" t="s">
        <v>580</v>
      </c>
      <c r="E72" s="1" t="s">
        <v>279</v>
      </c>
      <c r="F72" s="1" t="s">
        <v>279</v>
      </c>
      <c r="G72" s="1" t="s">
        <v>582</v>
      </c>
      <c r="H72" s="1" t="s">
        <v>1047</v>
      </c>
      <c r="I72" s="5">
        <v>35859</v>
      </c>
      <c r="J72" s="1" t="s">
        <v>1107</v>
      </c>
      <c r="K72" s="1" t="s">
        <v>1092</v>
      </c>
      <c r="L72" s="5">
        <v>44761</v>
      </c>
      <c r="M72" s="1" t="s">
        <v>1141</v>
      </c>
    </row>
    <row r="73" spans="1:14" x14ac:dyDescent="0.25">
      <c r="A73" s="9">
        <v>60238234356</v>
      </c>
      <c r="B73" s="1" t="s">
        <v>585</v>
      </c>
      <c r="C73" s="1" t="s">
        <v>583</v>
      </c>
      <c r="D73" s="3" t="s">
        <v>584</v>
      </c>
      <c r="E73" s="1" t="s">
        <v>586</v>
      </c>
      <c r="F73" s="1" t="s">
        <v>587</v>
      </c>
      <c r="G73" s="1" t="s">
        <v>588</v>
      </c>
      <c r="H73" s="1"/>
      <c r="I73" s="10">
        <v>30072</v>
      </c>
      <c r="J73" s="1" t="s">
        <v>526</v>
      </c>
      <c r="K73" s="1" t="s">
        <v>1069</v>
      </c>
      <c r="L73" s="5">
        <v>39220</v>
      </c>
      <c r="M73" s="1" t="s">
        <v>1152</v>
      </c>
    </row>
    <row r="74" spans="1:14" x14ac:dyDescent="0.25">
      <c r="A74" s="9">
        <v>46462362676</v>
      </c>
      <c r="B74" s="1" t="s">
        <v>144</v>
      </c>
      <c r="C74" s="1" t="s">
        <v>589</v>
      </c>
      <c r="D74" s="3" t="s">
        <v>590</v>
      </c>
      <c r="E74" s="1" t="s">
        <v>236</v>
      </c>
      <c r="F74" s="1" t="s">
        <v>236</v>
      </c>
      <c r="G74" s="1" t="s">
        <v>363</v>
      </c>
      <c r="H74" s="1" t="s">
        <v>1011</v>
      </c>
      <c r="I74" s="5">
        <v>31778</v>
      </c>
      <c r="J74" s="1" t="s">
        <v>447</v>
      </c>
      <c r="K74" s="1" t="s">
        <v>1080</v>
      </c>
      <c r="L74" s="5">
        <v>41367</v>
      </c>
      <c r="M74" s="1">
        <v>65305</v>
      </c>
    </row>
    <row r="75" spans="1:14" x14ac:dyDescent="0.25">
      <c r="A75" s="9">
        <v>11437413172</v>
      </c>
      <c r="B75" s="1" t="s">
        <v>146</v>
      </c>
      <c r="C75" s="1" t="s">
        <v>591</v>
      </c>
      <c r="D75" s="3" t="s">
        <v>592</v>
      </c>
      <c r="E75" s="1" t="s">
        <v>255</v>
      </c>
      <c r="F75" s="1" t="s">
        <v>400</v>
      </c>
      <c r="G75" s="1" t="s">
        <v>593</v>
      </c>
      <c r="H75" s="1" t="s">
        <v>1048</v>
      </c>
      <c r="I75" s="5">
        <v>31048</v>
      </c>
      <c r="J75" s="1" t="s">
        <v>1109</v>
      </c>
      <c r="K75" s="1" t="s">
        <v>1108</v>
      </c>
      <c r="L75" s="5">
        <v>39981</v>
      </c>
      <c r="M75" s="1">
        <v>265</v>
      </c>
    </row>
    <row r="76" spans="1:14" x14ac:dyDescent="0.25">
      <c r="A76" s="9">
        <v>50575679194</v>
      </c>
      <c r="B76" s="1" t="s">
        <v>147</v>
      </c>
      <c r="C76" s="1" t="s">
        <v>594</v>
      </c>
      <c r="D76" s="3" t="s">
        <v>595</v>
      </c>
      <c r="E76" s="1" t="s">
        <v>596</v>
      </c>
      <c r="F76" s="1" t="s">
        <v>303</v>
      </c>
      <c r="G76" s="1" t="s">
        <v>597</v>
      </c>
      <c r="H76" s="1" t="s">
        <v>1011</v>
      </c>
      <c r="I76" s="5">
        <v>35054</v>
      </c>
      <c r="J76" s="1" t="s">
        <v>526</v>
      </c>
      <c r="K76" s="1" t="s">
        <v>1090</v>
      </c>
      <c r="L76" s="5">
        <v>43651</v>
      </c>
      <c r="M76" s="1" t="s">
        <v>1153</v>
      </c>
    </row>
    <row r="77" spans="1:14" x14ac:dyDescent="0.25">
      <c r="A77" s="9">
        <v>49576376782</v>
      </c>
      <c r="B77" s="1" t="s">
        <v>600</v>
      </c>
      <c r="C77" s="1" t="s">
        <v>598</v>
      </c>
      <c r="D77" s="3" t="s">
        <v>599</v>
      </c>
      <c r="E77" s="1" t="s">
        <v>35</v>
      </c>
      <c r="F77" s="1" t="s">
        <v>601</v>
      </c>
      <c r="G77" s="1" t="s">
        <v>356</v>
      </c>
      <c r="H77" s="1" t="s">
        <v>1011</v>
      </c>
      <c r="I77" s="5">
        <v>31778</v>
      </c>
      <c r="J77" s="1" t="s">
        <v>1085</v>
      </c>
      <c r="K77" s="1" t="s">
        <v>1092</v>
      </c>
      <c r="L77" s="5">
        <v>39611</v>
      </c>
      <c r="M77" s="1">
        <v>50</v>
      </c>
    </row>
    <row r="78" spans="1:14" x14ac:dyDescent="0.25">
      <c r="A78" s="9">
        <v>15373810378</v>
      </c>
      <c r="B78" s="1" t="s">
        <v>604</v>
      </c>
      <c r="C78" s="1" t="s">
        <v>602</v>
      </c>
      <c r="D78" s="3" t="s">
        <v>603</v>
      </c>
      <c r="E78" s="1" t="s">
        <v>321</v>
      </c>
      <c r="F78" s="1" t="s">
        <v>303</v>
      </c>
      <c r="G78" s="1" t="s">
        <v>430</v>
      </c>
      <c r="H78" s="1" t="s">
        <v>1049</v>
      </c>
      <c r="I78" s="5">
        <v>34761</v>
      </c>
      <c r="J78" s="1" t="s">
        <v>526</v>
      </c>
      <c r="K78" s="1" t="s">
        <v>1090</v>
      </c>
      <c r="L78" s="10">
        <v>43668</v>
      </c>
      <c r="M78" s="4"/>
    </row>
    <row r="79" spans="1:14" x14ac:dyDescent="0.25">
      <c r="A79" s="9">
        <v>25300814430</v>
      </c>
      <c r="B79" s="1" t="s">
        <v>607</v>
      </c>
      <c r="C79" s="1" t="s">
        <v>605</v>
      </c>
      <c r="D79" s="3" t="s">
        <v>606</v>
      </c>
      <c r="E79" s="1" t="s">
        <v>409</v>
      </c>
      <c r="F79" s="1" t="s">
        <v>236</v>
      </c>
      <c r="G79" s="1" t="s">
        <v>608</v>
      </c>
      <c r="H79" s="1" t="s">
        <v>1011</v>
      </c>
      <c r="I79" s="5">
        <v>34516</v>
      </c>
      <c r="J79" s="1" t="s">
        <v>1110</v>
      </c>
      <c r="K79" s="1" t="s">
        <v>1092</v>
      </c>
      <c r="L79" s="5">
        <v>42292</v>
      </c>
      <c r="M79" s="11">
        <v>150101</v>
      </c>
    </row>
    <row r="80" spans="1:14" x14ac:dyDescent="0.25">
      <c r="A80" s="9">
        <v>44626390992</v>
      </c>
      <c r="B80" s="1" t="s">
        <v>154</v>
      </c>
      <c r="C80" s="1" t="s">
        <v>609</v>
      </c>
      <c r="D80" s="3" t="s">
        <v>610</v>
      </c>
      <c r="E80" s="1" t="s">
        <v>611</v>
      </c>
      <c r="F80" s="1" t="s">
        <v>612</v>
      </c>
      <c r="G80" s="1" t="s">
        <v>613</v>
      </c>
      <c r="H80" s="1" t="s">
        <v>1011</v>
      </c>
      <c r="I80" s="5">
        <v>25315</v>
      </c>
      <c r="J80" s="1" t="s">
        <v>526</v>
      </c>
      <c r="K80" s="1" t="s">
        <v>357</v>
      </c>
      <c r="L80" s="5">
        <v>34151</v>
      </c>
      <c r="M80" s="1" t="s">
        <v>1154</v>
      </c>
      <c r="N80" s="1" t="s">
        <v>614</v>
      </c>
    </row>
    <row r="81" spans="1:14" x14ac:dyDescent="0.25">
      <c r="A81" s="9">
        <v>17930262606</v>
      </c>
      <c r="B81" s="1" t="s">
        <v>617</v>
      </c>
      <c r="C81" s="1" t="s">
        <v>615</v>
      </c>
      <c r="D81" s="3" t="s">
        <v>616</v>
      </c>
      <c r="E81" s="1" t="s">
        <v>259</v>
      </c>
      <c r="F81" s="1" t="s">
        <v>260</v>
      </c>
      <c r="G81" s="1" t="s">
        <v>618</v>
      </c>
      <c r="H81" s="1" t="s">
        <v>1050</v>
      </c>
      <c r="I81" s="5">
        <v>26299</v>
      </c>
      <c r="J81" s="1" t="s">
        <v>1111</v>
      </c>
      <c r="K81" s="1" t="s">
        <v>1092</v>
      </c>
      <c r="L81" s="5">
        <v>42005</v>
      </c>
      <c r="M81" s="9">
        <v>201550070184</v>
      </c>
      <c r="N81" s="1" t="s">
        <v>619</v>
      </c>
    </row>
    <row r="82" spans="1:14" x14ac:dyDescent="0.25">
      <c r="A82" s="9">
        <v>25333965444</v>
      </c>
      <c r="B82" s="1" t="s">
        <v>155</v>
      </c>
      <c r="C82" s="1" t="s">
        <v>620</v>
      </c>
      <c r="D82" s="3" t="s">
        <v>621</v>
      </c>
      <c r="E82" s="1" t="s">
        <v>400</v>
      </c>
      <c r="F82" s="1" t="s">
        <v>259</v>
      </c>
      <c r="G82" s="1" t="s">
        <v>622</v>
      </c>
      <c r="H82" s="1" t="s">
        <v>1011</v>
      </c>
      <c r="I82" s="5">
        <v>30057</v>
      </c>
      <c r="J82" s="1" t="s">
        <v>526</v>
      </c>
      <c r="K82" s="1" t="s">
        <v>1080</v>
      </c>
      <c r="L82" s="5">
        <v>37257</v>
      </c>
      <c r="M82" s="1"/>
    </row>
    <row r="83" spans="1:14" x14ac:dyDescent="0.25">
      <c r="A83" s="9">
        <v>24547704474</v>
      </c>
      <c r="B83" s="1" t="s">
        <v>625</v>
      </c>
      <c r="C83" s="1" t="s">
        <v>623</v>
      </c>
      <c r="D83" s="3" t="s">
        <v>624</v>
      </c>
      <c r="E83" s="1" t="s">
        <v>260</v>
      </c>
      <c r="F83" s="1" t="s">
        <v>259</v>
      </c>
      <c r="G83" s="1" t="s">
        <v>626</v>
      </c>
      <c r="H83" s="1" t="s">
        <v>1051</v>
      </c>
      <c r="I83" s="5">
        <v>30377</v>
      </c>
      <c r="J83" s="1" t="s">
        <v>1112</v>
      </c>
      <c r="K83" s="1" t="s">
        <v>1080</v>
      </c>
      <c r="L83" s="10">
        <v>38544</v>
      </c>
      <c r="M83" s="4"/>
    </row>
    <row r="84" spans="1:14" x14ac:dyDescent="0.25">
      <c r="A84" s="9">
        <v>99191821662</v>
      </c>
      <c r="B84" s="1" t="s">
        <v>629</v>
      </c>
      <c r="C84" s="1" t="s">
        <v>627</v>
      </c>
      <c r="D84" s="3" t="s">
        <v>628</v>
      </c>
      <c r="E84" s="1" t="s">
        <v>630</v>
      </c>
      <c r="F84" s="1" t="s">
        <v>243</v>
      </c>
      <c r="G84" s="1" t="s">
        <v>631</v>
      </c>
      <c r="H84" s="1" t="s">
        <v>1052</v>
      </c>
      <c r="I84" s="5">
        <v>34127</v>
      </c>
      <c r="J84" s="1" t="s">
        <v>1113</v>
      </c>
      <c r="K84" s="1" t="s">
        <v>1069</v>
      </c>
      <c r="L84" s="5">
        <v>42542</v>
      </c>
      <c r="M84" s="1">
        <v>2410</v>
      </c>
    </row>
    <row r="85" spans="1:14" x14ac:dyDescent="0.25">
      <c r="A85" s="9">
        <v>43702132068</v>
      </c>
      <c r="B85" s="1" t="s">
        <v>634</v>
      </c>
      <c r="C85" s="1" t="s">
        <v>632</v>
      </c>
      <c r="D85" s="3" t="s">
        <v>633</v>
      </c>
      <c r="E85" s="1" t="s">
        <v>424</v>
      </c>
      <c r="F85" s="1" t="s">
        <v>635</v>
      </c>
      <c r="G85" s="1" t="s">
        <v>636</v>
      </c>
      <c r="H85" s="1" t="s">
        <v>1011</v>
      </c>
      <c r="I85" s="5">
        <v>32143</v>
      </c>
      <c r="J85" s="1" t="s">
        <v>1114</v>
      </c>
      <c r="K85" s="1" t="s">
        <v>1092</v>
      </c>
      <c r="L85" s="1" t="s">
        <v>637</v>
      </c>
      <c r="M85" s="1">
        <v>93</v>
      </c>
    </row>
    <row r="86" spans="1:14" x14ac:dyDescent="0.25">
      <c r="A86" s="9">
        <v>40942356902</v>
      </c>
      <c r="B86" s="1" t="s">
        <v>640</v>
      </c>
      <c r="C86" s="1" t="s">
        <v>638</v>
      </c>
      <c r="D86" s="3" t="s">
        <v>639</v>
      </c>
      <c r="E86" s="1" t="s">
        <v>321</v>
      </c>
      <c r="F86" s="1" t="s">
        <v>321</v>
      </c>
      <c r="G86" s="1" t="s">
        <v>641</v>
      </c>
      <c r="H86" s="1" t="s">
        <v>1047</v>
      </c>
      <c r="I86" s="5">
        <v>34508</v>
      </c>
      <c r="J86" s="1" t="s">
        <v>642</v>
      </c>
      <c r="K86" s="1" t="s">
        <v>1069</v>
      </c>
      <c r="L86" s="1" t="s">
        <v>643</v>
      </c>
      <c r="M86" s="1">
        <v>666</v>
      </c>
    </row>
    <row r="87" spans="1:14" x14ac:dyDescent="0.25">
      <c r="A87" s="9">
        <v>47110171046</v>
      </c>
      <c r="B87" s="1" t="s">
        <v>646</v>
      </c>
      <c r="C87" s="1" t="s">
        <v>644</v>
      </c>
      <c r="D87" s="3" t="s">
        <v>645</v>
      </c>
      <c r="E87" s="1" t="s">
        <v>326</v>
      </c>
      <c r="F87" s="1" t="s">
        <v>309</v>
      </c>
      <c r="G87" s="1" t="s">
        <v>250</v>
      </c>
      <c r="H87" s="1"/>
      <c r="I87" s="10">
        <v>35331</v>
      </c>
      <c r="J87" s="1" t="s">
        <v>1115</v>
      </c>
      <c r="K87" s="1" t="s">
        <v>1069</v>
      </c>
      <c r="L87" s="1" t="s">
        <v>647</v>
      </c>
      <c r="M87" s="1">
        <v>2331661</v>
      </c>
    </row>
    <row r="88" spans="1:14" x14ac:dyDescent="0.25">
      <c r="A88" s="9">
        <v>17512109152</v>
      </c>
      <c r="B88" s="1" t="s">
        <v>164</v>
      </c>
      <c r="C88" s="1" t="s">
        <v>648</v>
      </c>
      <c r="D88" s="3" t="s">
        <v>649</v>
      </c>
      <c r="E88" s="1" t="s">
        <v>395</v>
      </c>
      <c r="F88" s="1" t="s">
        <v>395</v>
      </c>
      <c r="G88" s="1" t="s">
        <v>650</v>
      </c>
      <c r="H88" s="1" t="s">
        <v>1017</v>
      </c>
      <c r="I88" s="5">
        <v>34700</v>
      </c>
      <c r="J88" s="1" t="s">
        <v>526</v>
      </c>
      <c r="K88" s="1" t="s">
        <v>1097</v>
      </c>
      <c r="L88" s="1" t="s">
        <v>651</v>
      </c>
      <c r="M88" s="1" t="s">
        <v>1126</v>
      </c>
    </row>
    <row r="89" spans="1:14" x14ac:dyDescent="0.25">
      <c r="A89" s="9">
        <v>31021518472</v>
      </c>
      <c r="B89" s="1" t="s">
        <v>654</v>
      </c>
      <c r="C89" s="1" t="s">
        <v>652</v>
      </c>
      <c r="D89" s="3" t="s">
        <v>653</v>
      </c>
      <c r="E89" s="1" t="s">
        <v>260</v>
      </c>
      <c r="F89" s="1" t="s">
        <v>655</v>
      </c>
      <c r="G89" s="1" t="s">
        <v>250</v>
      </c>
      <c r="H89" s="1" t="s">
        <v>1053</v>
      </c>
      <c r="I89" s="5">
        <v>28338</v>
      </c>
      <c r="J89" s="1" t="s">
        <v>447</v>
      </c>
      <c r="K89" s="1" t="s">
        <v>1098</v>
      </c>
      <c r="L89" s="1">
        <v>1996</v>
      </c>
      <c r="M89" s="1"/>
    </row>
    <row r="90" spans="1:14" x14ac:dyDescent="0.25">
      <c r="A90" s="9">
        <v>11086810612</v>
      </c>
      <c r="B90" s="1" t="s">
        <v>166</v>
      </c>
      <c r="C90" s="1" t="s">
        <v>656</v>
      </c>
      <c r="D90" s="3" t="s">
        <v>657</v>
      </c>
      <c r="E90" s="1" t="s">
        <v>279</v>
      </c>
      <c r="F90" s="1" t="s">
        <v>658</v>
      </c>
      <c r="G90" s="1" t="s">
        <v>467</v>
      </c>
      <c r="H90" s="1" t="s">
        <v>1054</v>
      </c>
      <c r="I90" s="5">
        <v>26299</v>
      </c>
      <c r="J90" s="1" t="s">
        <v>659</v>
      </c>
      <c r="K90" s="1" t="s">
        <v>1080</v>
      </c>
      <c r="L90" s="1">
        <v>16061994</v>
      </c>
      <c r="M90" s="1"/>
    </row>
    <row r="91" spans="1:14" x14ac:dyDescent="0.25">
      <c r="A91" s="9">
        <v>48949606938</v>
      </c>
      <c r="B91" s="1" t="s">
        <v>662</v>
      </c>
      <c r="C91" s="1" t="s">
        <v>660</v>
      </c>
      <c r="D91" s="3" t="s">
        <v>661</v>
      </c>
      <c r="E91" s="1" t="s">
        <v>663</v>
      </c>
      <c r="F91" s="1" t="s">
        <v>664</v>
      </c>
      <c r="G91" s="1" t="s">
        <v>641</v>
      </c>
      <c r="H91" s="1"/>
      <c r="I91" s="10">
        <v>29223</v>
      </c>
      <c r="J91" s="1" t="s">
        <v>665</v>
      </c>
      <c r="K91" s="1" t="s">
        <v>1069</v>
      </c>
      <c r="L91" s="1" t="s">
        <v>666</v>
      </c>
      <c r="M91" s="1">
        <v>336</v>
      </c>
      <c r="N91" s="1" t="s">
        <v>667</v>
      </c>
    </row>
    <row r="92" spans="1:14" x14ac:dyDescent="0.25">
      <c r="A92" s="9">
        <v>10360622910</v>
      </c>
      <c r="B92" s="1" t="s">
        <v>169</v>
      </c>
      <c r="C92" s="1" t="s">
        <v>668</v>
      </c>
      <c r="D92" s="3" t="s">
        <v>669</v>
      </c>
      <c r="E92" s="1" t="s">
        <v>236</v>
      </c>
      <c r="F92" s="1" t="s">
        <v>236</v>
      </c>
      <c r="G92" s="1" t="s">
        <v>405</v>
      </c>
      <c r="H92" s="1"/>
      <c r="I92" s="10">
        <v>25964</v>
      </c>
      <c r="J92" s="1" t="s">
        <v>1116</v>
      </c>
      <c r="K92" s="1" t="s">
        <v>1080</v>
      </c>
      <c r="L92" s="1" t="s">
        <v>670</v>
      </c>
      <c r="M92" s="1">
        <v>583</v>
      </c>
    </row>
    <row r="93" spans="1:14" x14ac:dyDescent="0.25">
      <c r="A93" s="9">
        <v>99892297612</v>
      </c>
      <c r="B93" s="1" t="s">
        <v>673</v>
      </c>
      <c r="C93" s="1" t="s">
        <v>671</v>
      </c>
      <c r="D93" s="3" t="s">
        <v>672</v>
      </c>
      <c r="E93" s="1" t="s">
        <v>674</v>
      </c>
      <c r="F93" s="1" t="s">
        <v>675</v>
      </c>
      <c r="G93" s="1" t="s">
        <v>676</v>
      </c>
      <c r="H93" s="1" t="s">
        <v>1055</v>
      </c>
      <c r="I93" s="5">
        <v>34362</v>
      </c>
      <c r="J93" s="1" t="s">
        <v>526</v>
      </c>
      <c r="K93" s="1" t="s">
        <v>1090</v>
      </c>
      <c r="L93" s="1" t="s">
        <v>677</v>
      </c>
      <c r="M93" s="1" t="s">
        <v>1127</v>
      </c>
      <c r="N93">
        <v>706557</v>
      </c>
    </row>
    <row r="94" spans="1:14" x14ac:dyDescent="0.25">
      <c r="A94" s="9">
        <v>32042074596</v>
      </c>
      <c r="B94" s="1" t="s">
        <v>173</v>
      </c>
      <c r="C94" s="1" t="s">
        <v>678</v>
      </c>
      <c r="D94" s="3" t="s">
        <v>679</v>
      </c>
      <c r="E94" s="1" t="s">
        <v>235</v>
      </c>
      <c r="F94" s="1" t="s">
        <v>236</v>
      </c>
      <c r="G94" s="1" t="s">
        <v>680</v>
      </c>
      <c r="H94" s="1" t="s">
        <v>1050</v>
      </c>
      <c r="I94" s="5"/>
      <c r="J94" s="1" t="s">
        <v>526</v>
      </c>
      <c r="K94" s="1" t="s">
        <v>1080</v>
      </c>
      <c r="L94" s="1" t="s">
        <v>681</v>
      </c>
      <c r="M94" s="1">
        <v>537</v>
      </c>
    </row>
    <row r="95" spans="1:14" x14ac:dyDescent="0.25">
      <c r="A95" s="9">
        <v>99961505396</v>
      </c>
      <c r="B95" s="1" t="s">
        <v>684</v>
      </c>
      <c r="C95" s="1" t="s">
        <v>682</v>
      </c>
      <c r="D95" s="3" t="s">
        <v>683</v>
      </c>
      <c r="E95" s="1" t="s">
        <v>685</v>
      </c>
      <c r="F95" s="1" t="s">
        <v>686</v>
      </c>
      <c r="G95" s="1" t="s">
        <v>687</v>
      </c>
      <c r="H95" s="1" t="s">
        <v>1056</v>
      </c>
      <c r="I95" s="5">
        <v>35788</v>
      </c>
      <c r="J95" s="1" t="s">
        <v>1117</v>
      </c>
      <c r="K95" s="1" t="s">
        <v>1090</v>
      </c>
      <c r="L95" s="1" t="s">
        <v>688</v>
      </c>
      <c r="M95" s="1" t="s">
        <v>1128</v>
      </c>
    </row>
    <row r="96" spans="1:14" x14ac:dyDescent="0.25">
      <c r="A96" s="9">
        <v>38447209366</v>
      </c>
      <c r="B96" s="1" t="s">
        <v>691</v>
      </c>
      <c r="C96" s="1" t="s">
        <v>689</v>
      </c>
      <c r="D96" s="3" t="s">
        <v>690</v>
      </c>
      <c r="E96" s="1" t="s">
        <v>279</v>
      </c>
      <c r="F96" s="1" t="s">
        <v>692</v>
      </c>
      <c r="G96" s="1" t="s">
        <v>693</v>
      </c>
      <c r="H96" s="1"/>
      <c r="I96" s="10">
        <v>32242</v>
      </c>
      <c r="J96" s="1" t="s">
        <v>1118</v>
      </c>
      <c r="K96" s="1" t="s">
        <v>1080</v>
      </c>
      <c r="L96" s="1" t="s">
        <v>694</v>
      </c>
      <c r="M96" s="1">
        <v>291</v>
      </c>
    </row>
    <row r="97" spans="1:14" x14ac:dyDescent="0.25">
      <c r="A97" s="9">
        <v>19051885108</v>
      </c>
      <c r="B97" s="1" t="s">
        <v>697</v>
      </c>
      <c r="C97" s="1" t="s">
        <v>695</v>
      </c>
      <c r="D97" s="3" t="s">
        <v>696</v>
      </c>
      <c r="E97" s="1" t="s">
        <v>698</v>
      </c>
      <c r="F97" s="1" t="s">
        <v>309</v>
      </c>
      <c r="G97" s="1" t="s">
        <v>699</v>
      </c>
      <c r="H97" s="1" t="s">
        <v>1051</v>
      </c>
      <c r="I97" s="5">
        <v>34220</v>
      </c>
      <c r="J97" s="1" t="s">
        <v>526</v>
      </c>
      <c r="K97" s="1" t="s">
        <v>1090</v>
      </c>
      <c r="L97" s="1" t="s">
        <v>700</v>
      </c>
      <c r="M97" s="1">
        <v>15013</v>
      </c>
    </row>
    <row r="98" spans="1:14" x14ac:dyDescent="0.25">
      <c r="A98" s="9">
        <v>42517767694</v>
      </c>
      <c r="B98" s="1" t="s">
        <v>178</v>
      </c>
      <c r="C98" s="1" t="s">
        <v>701</v>
      </c>
      <c r="D98" s="3" t="s">
        <v>702</v>
      </c>
      <c r="E98" s="1" t="s">
        <v>511</v>
      </c>
      <c r="F98" s="1" t="s">
        <v>703</v>
      </c>
      <c r="G98" s="1" t="s">
        <v>521</v>
      </c>
      <c r="H98" s="1" t="s">
        <v>1011</v>
      </c>
      <c r="I98" s="5">
        <v>34864</v>
      </c>
      <c r="J98" s="1" t="s">
        <v>704</v>
      </c>
      <c r="K98" s="1"/>
      <c r="L98" s="1" t="s">
        <v>705</v>
      </c>
      <c r="M98" s="1">
        <v>2149</v>
      </c>
    </row>
    <row r="99" spans="1:14" x14ac:dyDescent="0.25">
      <c r="A99" s="9">
        <v>58747256396</v>
      </c>
      <c r="B99" s="1" t="s">
        <v>708</v>
      </c>
      <c r="C99" s="1" t="s">
        <v>706</v>
      </c>
      <c r="D99" s="3" t="s">
        <v>707</v>
      </c>
      <c r="E99" s="1" t="s">
        <v>709</v>
      </c>
      <c r="F99" s="1" t="s">
        <v>260</v>
      </c>
      <c r="G99" s="1" t="s">
        <v>710</v>
      </c>
      <c r="H99" s="1" t="s">
        <v>1057</v>
      </c>
      <c r="I99" s="5">
        <v>30479</v>
      </c>
      <c r="J99" s="1" t="s">
        <v>1119</v>
      </c>
      <c r="K99" s="1" t="s">
        <v>1080</v>
      </c>
      <c r="L99" s="1" t="s">
        <v>711</v>
      </c>
      <c r="M99" s="1">
        <v>3388</v>
      </c>
    </row>
    <row r="100" spans="1:14" x14ac:dyDescent="0.25">
      <c r="A100" s="9">
        <v>23338826050</v>
      </c>
      <c r="B100" s="1" t="s">
        <v>714</v>
      </c>
      <c r="C100" s="1" t="s">
        <v>712</v>
      </c>
      <c r="D100" s="3" t="s">
        <v>713</v>
      </c>
      <c r="E100" s="1" t="s">
        <v>235</v>
      </c>
      <c r="F100" s="1" t="s">
        <v>236</v>
      </c>
      <c r="G100" s="1" t="s">
        <v>715</v>
      </c>
      <c r="H100" s="1" t="s">
        <v>1058</v>
      </c>
      <c r="I100" s="5">
        <v>27121</v>
      </c>
      <c r="J100" s="1" t="s">
        <v>1120</v>
      </c>
      <c r="K100" s="1" t="s">
        <v>1080</v>
      </c>
      <c r="L100" s="1" t="s">
        <v>716</v>
      </c>
      <c r="M100" s="1">
        <v>169</v>
      </c>
    </row>
    <row r="101" spans="1:14" x14ac:dyDescent="0.25">
      <c r="A101" s="9">
        <v>56374246872</v>
      </c>
      <c r="B101" s="1" t="s">
        <v>187</v>
      </c>
      <c r="C101" s="1" t="s">
        <v>717</v>
      </c>
      <c r="D101" s="3" t="s">
        <v>718</v>
      </c>
      <c r="E101" s="1" t="s">
        <v>309</v>
      </c>
      <c r="F101" s="1" t="s">
        <v>674</v>
      </c>
      <c r="G101" s="1" t="s">
        <v>641</v>
      </c>
      <c r="H101" s="1" t="s">
        <v>1059</v>
      </c>
      <c r="I101" s="5">
        <v>34904</v>
      </c>
      <c r="J101" s="1" t="s">
        <v>526</v>
      </c>
      <c r="K101" s="1" t="s">
        <v>357</v>
      </c>
      <c r="L101" s="1" t="s">
        <v>719</v>
      </c>
      <c r="M101" s="1">
        <v>216286</v>
      </c>
    </row>
    <row r="102" spans="1:14" x14ac:dyDescent="0.25">
      <c r="A102" s="9">
        <v>10298421838</v>
      </c>
      <c r="B102" s="1" t="s">
        <v>722</v>
      </c>
      <c r="C102" s="1" t="s">
        <v>720</v>
      </c>
      <c r="D102" s="3" t="s">
        <v>721</v>
      </c>
      <c r="E102" s="1" t="s">
        <v>441</v>
      </c>
      <c r="F102" s="1" t="s">
        <v>511</v>
      </c>
      <c r="G102" s="1" t="s">
        <v>723</v>
      </c>
      <c r="H102" s="1" t="s">
        <v>1014</v>
      </c>
      <c r="I102" s="5">
        <v>35508</v>
      </c>
      <c r="J102" s="1" t="s">
        <v>724</v>
      </c>
      <c r="K102" s="1"/>
      <c r="L102" s="1" t="s">
        <v>725</v>
      </c>
      <c r="M102" s="1">
        <v>169</v>
      </c>
    </row>
    <row r="103" spans="1:14" x14ac:dyDescent="0.25">
      <c r="A103" s="9">
        <v>28433119304</v>
      </c>
      <c r="B103" s="1" t="s">
        <v>728</v>
      </c>
      <c r="C103" s="1" t="s">
        <v>726</v>
      </c>
      <c r="D103" s="3" t="s">
        <v>727</v>
      </c>
      <c r="E103" s="1" t="s">
        <v>235</v>
      </c>
      <c r="F103" s="1" t="s">
        <v>260</v>
      </c>
      <c r="G103" s="1" t="s">
        <v>729</v>
      </c>
      <c r="H103" s="1" t="s">
        <v>1060</v>
      </c>
      <c r="I103" s="5">
        <v>29952</v>
      </c>
      <c r="J103" s="1" t="s">
        <v>1121</v>
      </c>
      <c r="K103" s="1" t="s">
        <v>1080</v>
      </c>
      <c r="L103" s="1" t="s">
        <v>730</v>
      </c>
      <c r="M103" s="1">
        <v>17137</v>
      </c>
    </row>
    <row r="104" spans="1:14" x14ac:dyDescent="0.25">
      <c r="A104" s="9">
        <v>16118591866</v>
      </c>
      <c r="B104" s="1" t="s">
        <v>192</v>
      </c>
      <c r="C104" s="1" t="s">
        <v>731</v>
      </c>
      <c r="D104" s="3" t="s">
        <v>732</v>
      </c>
      <c r="E104" s="1" t="s">
        <v>354</v>
      </c>
      <c r="F104" s="1" t="s">
        <v>733</v>
      </c>
      <c r="G104" s="1" t="s">
        <v>507</v>
      </c>
      <c r="H104" s="1" t="s">
        <v>1011</v>
      </c>
      <c r="I104" s="5">
        <v>25769</v>
      </c>
      <c r="J104" s="1" t="s">
        <v>526</v>
      </c>
      <c r="K104" s="1" t="s">
        <v>1094</v>
      </c>
      <c r="L104" s="1" t="s">
        <v>734</v>
      </c>
      <c r="M104" s="1" t="s">
        <v>1129</v>
      </c>
      <c r="N104" s="1" t="s">
        <v>735</v>
      </c>
    </row>
    <row r="105" spans="1:14" x14ac:dyDescent="0.25">
      <c r="A105" s="9">
        <v>13887042902</v>
      </c>
      <c r="B105" s="1" t="s">
        <v>193</v>
      </c>
      <c r="C105" s="1" t="s">
        <v>736</v>
      </c>
      <c r="D105" s="3" t="s">
        <v>737</v>
      </c>
      <c r="E105" s="1" t="s">
        <v>243</v>
      </c>
      <c r="F105" s="1" t="s">
        <v>303</v>
      </c>
      <c r="G105" s="1" t="s">
        <v>363</v>
      </c>
      <c r="H105" s="1" t="s">
        <v>1061</v>
      </c>
      <c r="I105" s="5">
        <v>33350</v>
      </c>
      <c r="J105" s="1" t="s">
        <v>738</v>
      </c>
      <c r="K105" s="1" t="s">
        <v>1094</v>
      </c>
      <c r="L105" s="1" t="s">
        <v>739</v>
      </c>
      <c r="M105" s="1" t="s">
        <v>1130</v>
      </c>
    </row>
    <row r="106" spans="1:14" x14ac:dyDescent="0.25">
      <c r="A106" s="9">
        <v>13865278156</v>
      </c>
      <c r="B106" s="1" t="s">
        <v>194</v>
      </c>
      <c r="C106" s="1" t="s">
        <v>740</v>
      </c>
      <c r="D106" s="3" t="s">
        <v>741</v>
      </c>
      <c r="E106" s="1" t="s">
        <v>235</v>
      </c>
      <c r="F106" s="1" t="s">
        <v>259</v>
      </c>
      <c r="G106" s="1" t="s">
        <v>742</v>
      </c>
      <c r="H106" s="1"/>
      <c r="I106" s="10">
        <v>26257</v>
      </c>
      <c r="J106" s="1" t="s">
        <v>526</v>
      </c>
      <c r="K106" s="1" t="s">
        <v>1089</v>
      </c>
      <c r="L106" s="1" t="s">
        <v>743</v>
      </c>
      <c r="M106" s="1">
        <v>98</v>
      </c>
    </row>
    <row r="107" spans="1:14" x14ac:dyDescent="0.25">
      <c r="A107" s="9">
        <v>34882949300</v>
      </c>
      <c r="B107" s="1" t="s">
        <v>746</v>
      </c>
      <c r="C107" s="1" t="s">
        <v>744</v>
      </c>
      <c r="D107" s="3" t="s">
        <v>745</v>
      </c>
      <c r="E107" s="1" t="s">
        <v>747</v>
      </c>
      <c r="F107" s="1" t="s">
        <v>260</v>
      </c>
      <c r="G107" s="1" t="s">
        <v>748</v>
      </c>
      <c r="H107" s="1"/>
      <c r="I107" s="10">
        <v>29665</v>
      </c>
      <c r="J107" s="1" t="s">
        <v>526</v>
      </c>
      <c r="K107" s="1" t="s">
        <v>1089</v>
      </c>
      <c r="L107" s="1" t="s">
        <v>749</v>
      </c>
      <c r="M107" s="1">
        <v>593</v>
      </c>
      <c r="N107" s="1" t="s">
        <v>750</v>
      </c>
    </row>
    <row r="108" spans="1:14" x14ac:dyDescent="0.25">
      <c r="A108" s="9">
        <v>99402060538</v>
      </c>
      <c r="B108" s="1" t="s">
        <v>753</v>
      </c>
      <c r="C108" s="1" t="s">
        <v>751</v>
      </c>
      <c r="D108" s="3" t="s">
        <v>752</v>
      </c>
      <c r="E108" s="1" t="s">
        <v>674</v>
      </c>
      <c r="F108" s="1" t="s">
        <v>243</v>
      </c>
      <c r="G108" s="1" t="s">
        <v>754</v>
      </c>
      <c r="H108" s="1" t="s">
        <v>1056</v>
      </c>
      <c r="I108" s="5">
        <v>34492</v>
      </c>
      <c r="J108" s="1" t="s">
        <v>755</v>
      </c>
      <c r="K108" s="1" t="s">
        <v>1069</v>
      </c>
      <c r="L108" s="1" t="s">
        <v>756</v>
      </c>
      <c r="M108" s="1">
        <v>3337</v>
      </c>
    </row>
    <row r="109" spans="1:14" x14ac:dyDescent="0.25">
      <c r="A109" s="9">
        <v>41704030504</v>
      </c>
      <c r="B109" s="1" t="s">
        <v>196</v>
      </c>
      <c r="C109" s="1" t="s">
        <v>757</v>
      </c>
      <c r="D109" s="3" t="s">
        <v>758</v>
      </c>
      <c r="E109" s="1" t="s">
        <v>395</v>
      </c>
      <c r="F109" s="1" t="s">
        <v>243</v>
      </c>
      <c r="G109" s="1" t="s">
        <v>250</v>
      </c>
      <c r="H109" s="1"/>
      <c r="I109" s="10">
        <v>35602</v>
      </c>
      <c r="J109" s="1" t="s">
        <v>759</v>
      </c>
      <c r="K109" s="1" t="s">
        <v>1069</v>
      </c>
      <c r="L109" s="1" t="s">
        <v>760</v>
      </c>
      <c r="M109" s="1">
        <v>89610</v>
      </c>
    </row>
    <row r="110" spans="1:14" x14ac:dyDescent="0.25">
      <c r="A110" s="9">
        <v>28904183094</v>
      </c>
      <c r="B110" s="1" t="s">
        <v>763</v>
      </c>
      <c r="C110" s="1" t="s">
        <v>761</v>
      </c>
      <c r="D110" s="3" t="s">
        <v>762</v>
      </c>
      <c r="E110" s="1" t="s">
        <v>236</v>
      </c>
      <c r="F110" s="1" t="s">
        <v>235</v>
      </c>
      <c r="G110" s="1" t="s">
        <v>764</v>
      </c>
      <c r="H110" s="1" t="s">
        <v>1062</v>
      </c>
      <c r="I110" s="5">
        <v>32436</v>
      </c>
      <c r="J110" s="1" t="s">
        <v>1122</v>
      </c>
      <c r="K110" s="1" t="s">
        <v>1092</v>
      </c>
      <c r="L110" s="1" t="s">
        <v>765</v>
      </c>
      <c r="M110" s="1">
        <v>72</v>
      </c>
    </row>
    <row r="111" spans="1:14" x14ac:dyDescent="0.25">
      <c r="A111" s="9">
        <v>43342852876</v>
      </c>
      <c r="B111" s="1" t="s">
        <v>199</v>
      </c>
      <c r="C111" s="1" t="s">
        <v>766</v>
      </c>
      <c r="D111" s="3" t="s">
        <v>767</v>
      </c>
      <c r="E111" s="1" t="s">
        <v>236</v>
      </c>
      <c r="F111" s="1" t="s">
        <v>768</v>
      </c>
      <c r="G111" s="1" t="s">
        <v>769</v>
      </c>
      <c r="H111" s="1" t="s">
        <v>1063</v>
      </c>
      <c r="I111" s="5">
        <v>31818</v>
      </c>
      <c r="J111" s="1" t="s">
        <v>1123</v>
      </c>
      <c r="K111" s="1" t="s">
        <v>1092</v>
      </c>
      <c r="L111" s="1" t="s">
        <v>770</v>
      </c>
      <c r="M111" s="1">
        <v>101</v>
      </c>
    </row>
    <row r="112" spans="1:14" x14ac:dyDescent="0.25">
      <c r="A112" s="9">
        <v>62629279496</v>
      </c>
      <c r="B112" s="1" t="s">
        <v>201</v>
      </c>
      <c r="C112" s="1" t="s">
        <v>771</v>
      </c>
      <c r="D112" s="3" t="s">
        <v>772</v>
      </c>
      <c r="E112" s="1" t="s">
        <v>773</v>
      </c>
      <c r="F112" s="1" t="s">
        <v>303</v>
      </c>
      <c r="G112" s="1" t="s">
        <v>774</v>
      </c>
      <c r="H112" s="1"/>
      <c r="I112" s="10">
        <v>34344</v>
      </c>
      <c r="J112" s="1" t="s">
        <v>775</v>
      </c>
      <c r="K112" s="1" t="s">
        <v>1069</v>
      </c>
      <c r="L112" s="1" t="s">
        <v>776</v>
      </c>
      <c r="M112" s="1">
        <v>249</v>
      </c>
    </row>
    <row r="113" spans="1:14" x14ac:dyDescent="0.25">
      <c r="A113" s="9">
        <v>99118381224</v>
      </c>
      <c r="B113" s="1" t="s">
        <v>779</v>
      </c>
      <c r="C113" s="1" t="s">
        <v>777</v>
      </c>
      <c r="D113" s="3" t="s">
        <v>778</v>
      </c>
      <c r="E113" s="1" t="s">
        <v>242</v>
      </c>
      <c r="F113" s="1" t="s">
        <v>558</v>
      </c>
      <c r="G113" s="1" t="s">
        <v>780</v>
      </c>
      <c r="H113" s="1" t="s">
        <v>1064</v>
      </c>
      <c r="I113" s="5">
        <v>34906</v>
      </c>
      <c r="J113" s="1" t="s">
        <v>1124</v>
      </c>
      <c r="K113" s="1" t="s">
        <v>1069</v>
      </c>
      <c r="L113" s="1">
        <v>707264</v>
      </c>
      <c r="M113" s="1">
        <v>707264</v>
      </c>
    </row>
    <row r="114" spans="1:14" x14ac:dyDescent="0.25">
      <c r="A114" s="9">
        <v>21413501298</v>
      </c>
      <c r="B114" s="1" t="s">
        <v>783</v>
      </c>
      <c r="C114" s="1" t="s">
        <v>781</v>
      </c>
      <c r="D114" s="3" t="s">
        <v>782</v>
      </c>
      <c r="E114" s="1" t="s">
        <v>235</v>
      </c>
      <c r="F114" s="1" t="s">
        <v>260</v>
      </c>
      <c r="G114" s="1" t="s">
        <v>784</v>
      </c>
      <c r="H114" s="1"/>
      <c r="I114" s="10">
        <v>30230</v>
      </c>
      <c r="J114" s="1" t="s">
        <v>526</v>
      </c>
      <c r="K114" s="1" t="s">
        <v>1089</v>
      </c>
      <c r="L114" s="1" t="s">
        <v>785</v>
      </c>
      <c r="M114" s="1">
        <v>685</v>
      </c>
    </row>
    <row r="115" spans="1:14" x14ac:dyDescent="0.25">
      <c r="A115" s="9">
        <v>12649440932</v>
      </c>
      <c r="B115" s="1" t="s">
        <v>207</v>
      </c>
      <c r="C115" s="1" t="s">
        <v>786</v>
      </c>
      <c r="D115" s="3" t="s">
        <v>787</v>
      </c>
      <c r="E115" s="1" t="s">
        <v>243</v>
      </c>
      <c r="F115" s="1" t="s">
        <v>788</v>
      </c>
      <c r="G115" s="1" t="s">
        <v>789</v>
      </c>
      <c r="H115" s="1" t="s">
        <v>1011</v>
      </c>
      <c r="I115" s="5">
        <v>35578</v>
      </c>
      <c r="J115" s="1" t="s">
        <v>526</v>
      </c>
      <c r="K115" s="1" t="s">
        <v>357</v>
      </c>
      <c r="L115" s="1">
        <v>237254</v>
      </c>
      <c r="M115" s="1">
        <v>237254</v>
      </c>
    </row>
    <row r="116" spans="1:14" x14ac:dyDescent="0.25">
      <c r="A116" s="9">
        <v>99210522976</v>
      </c>
      <c r="B116" s="1" t="s">
        <v>208</v>
      </c>
      <c r="C116" s="1" t="s">
        <v>790</v>
      </c>
      <c r="D116" s="3" t="s">
        <v>791</v>
      </c>
      <c r="E116" s="1" t="s">
        <v>792</v>
      </c>
      <c r="F116" s="1" t="s">
        <v>674</v>
      </c>
      <c r="G116" s="1" t="s">
        <v>793</v>
      </c>
      <c r="H116" s="1" t="s">
        <v>1056</v>
      </c>
      <c r="I116" s="5">
        <v>35273</v>
      </c>
      <c r="J116" s="1" t="s">
        <v>794</v>
      </c>
      <c r="K116" s="1" t="s">
        <v>1069</v>
      </c>
      <c r="L116" s="4" t="s">
        <v>795</v>
      </c>
      <c r="M116" s="4">
        <v>2019</v>
      </c>
    </row>
    <row r="117" spans="1:14" x14ac:dyDescent="0.25">
      <c r="A117" s="9">
        <v>16019363920</v>
      </c>
      <c r="B117" s="1" t="s">
        <v>798</v>
      </c>
      <c r="C117" s="1" t="s">
        <v>796</v>
      </c>
      <c r="D117" s="3" t="s">
        <v>797</v>
      </c>
      <c r="E117" s="1" t="s">
        <v>243</v>
      </c>
      <c r="F117" s="1" t="s">
        <v>303</v>
      </c>
      <c r="G117" s="1" t="s">
        <v>799</v>
      </c>
      <c r="H117" s="1"/>
      <c r="I117" s="10">
        <v>33902</v>
      </c>
      <c r="J117" s="1" t="s">
        <v>526</v>
      </c>
      <c r="K117" s="1" t="s">
        <v>357</v>
      </c>
      <c r="L117" s="1" t="s">
        <v>800</v>
      </c>
      <c r="M117" s="1">
        <v>33669</v>
      </c>
    </row>
    <row r="118" spans="1:14" x14ac:dyDescent="0.25">
      <c r="A118" s="9">
        <v>15266714844</v>
      </c>
      <c r="B118" s="1" t="s">
        <v>803</v>
      </c>
      <c r="C118" s="1" t="s">
        <v>801</v>
      </c>
      <c r="D118" s="3" t="s">
        <v>802</v>
      </c>
      <c r="E118" s="1" t="s">
        <v>321</v>
      </c>
      <c r="F118" s="1" t="s">
        <v>243</v>
      </c>
      <c r="G118" s="1" t="s">
        <v>804</v>
      </c>
      <c r="H118" s="1" t="s">
        <v>1030</v>
      </c>
      <c r="I118" s="5">
        <v>35431</v>
      </c>
      <c r="J118" s="1" t="s">
        <v>526</v>
      </c>
      <c r="K118" s="1" t="s">
        <v>357</v>
      </c>
      <c r="L118" s="1" t="s">
        <v>805</v>
      </c>
      <c r="M118" s="1">
        <v>36260</v>
      </c>
    </row>
    <row r="119" spans="1:14" x14ac:dyDescent="0.25">
      <c r="A119" s="9">
        <v>39292722758</v>
      </c>
      <c r="B119" s="1" t="s">
        <v>808</v>
      </c>
      <c r="C119" s="1" t="s">
        <v>806</v>
      </c>
      <c r="D119" s="3" t="s">
        <v>807</v>
      </c>
      <c r="E119" s="1" t="s">
        <v>809</v>
      </c>
      <c r="F119" s="1" t="s">
        <v>810</v>
      </c>
      <c r="G119" s="1" t="s">
        <v>811</v>
      </c>
      <c r="H119" s="1"/>
      <c r="I119" s="10">
        <v>31723</v>
      </c>
      <c r="J119" s="1" t="s">
        <v>526</v>
      </c>
      <c r="K119" s="1" t="s">
        <v>357</v>
      </c>
      <c r="L119" s="1" t="s">
        <v>812</v>
      </c>
      <c r="M119" s="1">
        <v>31426</v>
      </c>
      <c r="N119" s="4" t="s">
        <v>813</v>
      </c>
    </row>
  </sheetData>
  <hyperlinks>
    <hyperlink ref="D2" r:id="rId1" xr:uid="{4A6AEA1E-76D8-46A1-B01D-A68ACBC12E89}"/>
    <hyperlink ref="D3" r:id="rId2" xr:uid="{EB6EC4E1-1673-4CC4-BAF5-C686744A1386}"/>
    <hyperlink ref="D4" r:id="rId3" xr:uid="{93BE3B59-F685-4258-907C-7378FB0BE56E}"/>
    <hyperlink ref="D5" r:id="rId4" xr:uid="{4C0355F0-93D6-49AF-8A6D-FE1D03C24ADD}"/>
    <hyperlink ref="D6" r:id="rId5" xr:uid="{FB912F6F-06BB-40B1-9860-85ACF2BEAF5E}"/>
    <hyperlink ref="D7" r:id="rId6" xr:uid="{711A9DDC-EFA0-4CC0-81D0-4FFD58BB2291}"/>
    <hyperlink ref="D8" r:id="rId7" xr:uid="{2F6AB61E-00B1-41E4-98A4-B6294272CD95}"/>
    <hyperlink ref="D9" r:id="rId8" xr:uid="{C459AC7C-64F0-46E5-9729-379A05ECF086}"/>
    <hyperlink ref="D10" r:id="rId9" xr:uid="{35DBAC5C-0CF6-43FA-A5CC-F92C2FA034DF}"/>
    <hyperlink ref="D11" r:id="rId10" xr:uid="{B2005B7D-FA8B-4D40-83FF-645CB11AF90B}"/>
    <hyperlink ref="D12" r:id="rId11" xr:uid="{6DFFEF9A-0445-4BBF-AAC4-ADE791798323}"/>
    <hyperlink ref="D13" r:id="rId12" xr:uid="{D0DF6772-029A-40A1-9919-62DCB169007B}"/>
    <hyperlink ref="D14" r:id="rId13" xr:uid="{1062E023-F80C-4AC9-AD2F-C3E6CB05DAA1}"/>
    <hyperlink ref="D15" r:id="rId14" xr:uid="{995F2468-8C5F-4E26-ACDB-6EBAF4B48D4C}"/>
    <hyperlink ref="D16" r:id="rId15" xr:uid="{BAD4F5AA-EB12-4DB6-B5B4-5C6FA6171464}"/>
    <hyperlink ref="D17" r:id="rId16" xr:uid="{CE58D926-0A4C-4C38-A630-B518B83971D1}"/>
    <hyperlink ref="D18" r:id="rId17" xr:uid="{39B9BC0E-4D37-46BD-9353-1AACE838510E}"/>
    <hyperlink ref="D19" r:id="rId18" xr:uid="{CDCBD08B-8399-477C-A571-47620C95A9D0}"/>
    <hyperlink ref="D20" r:id="rId19" xr:uid="{3EFA88C9-62EA-4ABD-B7BD-7771F858FCD4}"/>
    <hyperlink ref="D21" r:id="rId20" xr:uid="{BE971DF5-8EC5-4BC0-9E88-55724A13B8A7}"/>
    <hyperlink ref="D22" r:id="rId21" xr:uid="{6322F12C-357E-4C98-A362-B1316AFED9F2}"/>
    <hyperlink ref="D23" r:id="rId22" xr:uid="{397C72A9-F6FD-41AB-8D1E-E00D903E5C93}"/>
    <hyperlink ref="D24" r:id="rId23" xr:uid="{E37E64AE-7968-4DB3-B5EA-D983F1B2F97E}"/>
    <hyperlink ref="D25" r:id="rId24" xr:uid="{FEFC4043-A5AE-44EB-9EE6-854D8E729FE1}"/>
    <hyperlink ref="D26" r:id="rId25" xr:uid="{278CE4D9-F813-4F17-B5FE-47269CA71A78}"/>
    <hyperlink ref="D27" r:id="rId26" xr:uid="{0CD33885-C8B8-4996-99C0-243152BC0C9A}"/>
    <hyperlink ref="D28" r:id="rId27" xr:uid="{036DC810-FFB4-4519-8535-FC283BB02F9E}"/>
    <hyperlink ref="D29" r:id="rId28" xr:uid="{907FD4F2-251B-4D04-AAAA-23802D0534BB}"/>
    <hyperlink ref="D30" r:id="rId29" xr:uid="{310D9BB5-BB14-4A48-8396-AE8EE0435052}"/>
    <hyperlink ref="D31" r:id="rId30" xr:uid="{3586CC88-BCAA-4613-9485-C45A4D34B0DA}"/>
    <hyperlink ref="D32" r:id="rId31" xr:uid="{CA0FB50F-ADAE-49C4-B339-3FE4C57BD35A}"/>
    <hyperlink ref="D33" r:id="rId32" xr:uid="{EC79AF9F-9419-494A-871F-BEAFB3141576}"/>
    <hyperlink ref="D34" r:id="rId33" xr:uid="{28E67EB6-4125-4BA5-A8B5-1D9E409D6516}"/>
    <hyperlink ref="D35" r:id="rId34" xr:uid="{08C58DA0-F00B-43D9-BEFD-DC551CE96F4C}"/>
    <hyperlink ref="D36" r:id="rId35" xr:uid="{7BFBEFF9-4956-4FAB-93E2-A13A28201140}"/>
    <hyperlink ref="D37" r:id="rId36" xr:uid="{56F5B8C2-3199-4138-B430-1A0E6FDD6C34}"/>
    <hyperlink ref="D38" r:id="rId37" xr:uid="{1C1F690C-51F9-4B91-919B-C9E69CFFC12B}"/>
    <hyperlink ref="D39" r:id="rId38" xr:uid="{A5C58998-5EA0-4D1A-9F85-42D40FE6816D}"/>
    <hyperlink ref="D40" r:id="rId39" xr:uid="{409D91C8-354B-4561-A586-7F4AE0B10294}"/>
    <hyperlink ref="D41" r:id="rId40" xr:uid="{AC35E5F6-7587-45DA-AC91-EB1DDCC4DC4F}"/>
    <hyperlink ref="D42" r:id="rId41" xr:uid="{BB92DBAE-75FD-4EA3-B9BF-558330BDD9E8}"/>
    <hyperlink ref="D43" r:id="rId42" xr:uid="{D4F530BA-B4F5-4D4A-92CE-3FF4B558D212}"/>
    <hyperlink ref="D44" r:id="rId43" xr:uid="{52101F66-2C75-40EE-915B-D2665836BBEB}"/>
    <hyperlink ref="D45" r:id="rId44" xr:uid="{D3D52D26-77B8-4EDE-8C09-E3C409FD8BE1}"/>
    <hyperlink ref="D46" r:id="rId45" xr:uid="{2C786D72-E20D-4595-8BB1-784375EF54A2}"/>
    <hyperlink ref="D47" r:id="rId46" xr:uid="{948D522F-892B-4B46-9544-177AF74880AD}"/>
    <hyperlink ref="D48" r:id="rId47" xr:uid="{79DBC3D9-69BA-4846-877C-86B49CC2D149}"/>
    <hyperlink ref="D49" r:id="rId48" xr:uid="{148435F2-5740-44D3-B835-F844FBFE6512}"/>
    <hyperlink ref="D50" r:id="rId49" xr:uid="{B36D2DCB-FBCC-40DC-84DE-CA58E686E9F2}"/>
    <hyperlink ref="D51" r:id="rId50" xr:uid="{F3EB8709-4059-4FC5-93BF-6C7A5C2E78B4}"/>
    <hyperlink ref="D52" r:id="rId51" xr:uid="{57F7FE19-7EC1-4D90-BD45-F2BA9FEF8C1C}"/>
    <hyperlink ref="D53" r:id="rId52" xr:uid="{F3872AAC-ADA3-41F8-A1AE-015B185F0AE2}"/>
    <hyperlink ref="D54" r:id="rId53" xr:uid="{A0E3A0BA-8296-45AE-A99F-2372456F2CEF}"/>
    <hyperlink ref="D55" r:id="rId54" xr:uid="{4C7C26FE-6A95-4E96-B847-B861C09FDD83}"/>
    <hyperlink ref="D56" r:id="rId55" xr:uid="{22B1C353-0C1C-4625-9E0C-45F875960393}"/>
    <hyperlink ref="D57" r:id="rId56" xr:uid="{0EE80BBF-B755-40FF-A979-49EA38527439}"/>
    <hyperlink ref="D58" r:id="rId57" xr:uid="{838D1E0C-C71B-454E-9CE2-ACF30210C66F}"/>
    <hyperlink ref="D59" r:id="rId58" xr:uid="{584EFB40-EC93-48AF-85B3-0FE545E8581C}"/>
    <hyperlink ref="D60" r:id="rId59" xr:uid="{9FA98EAD-232F-442E-A8B3-4583A9D77C0F}"/>
    <hyperlink ref="D61" r:id="rId60" xr:uid="{A1801A97-032A-49AF-B6FD-F8372539299A}"/>
    <hyperlink ref="D62" r:id="rId61" xr:uid="{02875E29-F22D-4BFE-918A-120F631FE2FF}"/>
    <hyperlink ref="D63" r:id="rId62" xr:uid="{27FD3F08-BC36-42D5-8604-FC3E26A68445}"/>
    <hyperlink ref="D64" r:id="rId63" xr:uid="{0DB70D37-823B-4086-ACAC-88E52EEF5FDA}"/>
    <hyperlink ref="D65" r:id="rId64" xr:uid="{1A42CE97-0916-4EF7-B1AA-15C5EED95D50}"/>
    <hyperlink ref="D66" r:id="rId65" xr:uid="{C581DAFE-3517-40A3-A4D9-B3F8FD12A084}"/>
    <hyperlink ref="D67" r:id="rId66" xr:uid="{30387D51-4E5C-4F0E-9C81-B42D623C1CB7}"/>
    <hyperlink ref="D68" r:id="rId67" xr:uid="{B3C538D2-B229-43A8-B86D-DFD7C154D8D5}"/>
    <hyperlink ref="D69" r:id="rId68" xr:uid="{C89EFC26-CB78-496A-A290-67BE4A5D95A2}"/>
    <hyperlink ref="D70" r:id="rId69" xr:uid="{8BF36E5F-0BA9-4819-8D8A-D303B37ECF11}"/>
    <hyperlink ref="D71" r:id="rId70" xr:uid="{FAB0F2AE-404B-42DE-83C5-7E72A58C9B4F}"/>
    <hyperlink ref="D72" r:id="rId71" xr:uid="{8ABA2B1A-AA9A-4F75-A336-4AE751969A76}"/>
    <hyperlink ref="D73" r:id="rId72" xr:uid="{8B41BB05-3A6F-4F36-99B9-819DFF3C0E02}"/>
    <hyperlink ref="D74" r:id="rId73" xr:uid="{CDEC1B7E-CFC0-4523-911F-1DFBB16D4153}"/>
    <hyperlink ref="D75" r:id="rId74" xr:uid="{683C36E8-994E-4E6E-B258-6D8720F4985B}"/>
    <hyperlink ref="D76" r:id="rId75" xr:uid="{C168E20F-22E9-4371-AF79-0DB22D285322}"/>
    <hyperlink ref="D77" r:id="rId76" xr:uid="{26303FBE-2909-4B51-97A5-DD4033D42472}"/>
    <hyperlink ref="D78" r:id="rId77" xr:uid="{E2F28663-31C3-4C32-9FD8-03D357669F4C}"/>
    <hyperlink ref="D79" r:id="rId78" xr:uid="{7135C6EB-B5C7-44C3-9DBB-31B6F709A130}"/>
    <hyperlink ref="D80" r:id="rId79" xr:uid="{9066FA8D-85EE-4B28-9916-09AD7BF2B2DB}"/>
    <hyperlink ref="D81" r:id="rId80" xr:uid="{E85EF081-6062-4C1F-8326-CC914D754D63}"/>
    <hyperlink ref="D82" r:id="rId81" xr:uid="{BEF5E37F-3896-4B24-9220-A909339CC905}"/>
    <hyperlink ref="D83" r:id="rId82" xr:uid="{A5FF0D55-FE9E-47B4-8EDB-11657E5D0AC8}"/>
    <hyperlink ref="D84" r:id="rId83" xr:uid="{6027EA3B-1313-4609-8D3A-0A6EDF827C2A}"/>
    <hyperlink ref="D85" r:id="rId84" xr:uid="{46B45992-C73A-4F0F-9333-DEAE02B44062}"/>
    <hyperlink ref="D86" r:id="rId85" xr:uid="{3AD56941-E5E7-472A-AB5E-9707A9A0ED8E}"/>
    <hyperlink ref="D87" r:id="rId86" xr:uid="{A06CFC3F-2AAC-472F-ACE1-D29E55F2F6F1}"/>
    <hyperlink ref="D88" r:id="rId87" xr:uid="{5AC1F8E0-466D-4BCB-B26E-46509EBF2CA5}"/>
    <hyperlink ref="D89" r:id="rId88" xr:uid="{6C057DF8-C8D1-4405-BFB3-0F82FF5F0306}"/>
    <hyperlink ref="D90" r:id="rId89" xr:uid="{C5C689CF-6A33-4C54-9E97-FFBC0A2EF15C}"/>
    <hyperlink ref="D91" r:id="rId90" xr:uid="{C7B0CC82-AF59-439C-A22E-0288AC652953}"/>
    <hyperlink ref="D92" r:id="rId91" xr:uid="{18D06BAA-463E-4DDC-ACAC-34E1F0A12814}"/>
    <hyperlink ref="D93" r:id="rId92" xr:uid="{D15AEF7A-E30B-4F23-8D1D-478E73898E36}"/>
    <hyperlink ref="D94" r:id="rId93" xr:uid="{17996734-CA10-41C1-BEBF-2FCF6A608C3D}"/>
    <hyperlink ref="D95" r:id="rId94" xr:uid="{A470CA1E-F1EC-4138-BD35-207F4F5A9C16}"/>
    <hyperlink ref="D96" r:id="rId95" xr:uid="{B103956D-7B65-4A6B-A824-97CBACB580CA}"/>
    <hyperlink ref="D97" r:id="rId96" xr:uid="{9AFA37D9-B896-42C4-B697-A77BF2776308}"/>
    <hyperlink ref="D98" r:id="rId97" xr:uid="{14295517-8164-4FBB-A04E-BB4AAAFBB5A9}"/>
    <hyperlink ref="D99" r:id="rId98" xr:uid="{0A88D26C-C2EA-42D0-952F-8F0A1CAB50A7}"/>
    <hyperlink ref="D100" r:id="rId99" xr:uid="{80A1704B-8658-48FA-847C-4EE7A44F438F}"/>
    <hyperlink ref="D101" r:id="rId100" xr:uid="{7420E415-89C3-4BC0-A2FB-EB221DF1D306}"/>
    <hyperlink ref="D102" r:id="rId101" xr:uid="{0D8E98A3-E4EF-4793-8FF4-19BCD6ED183D}"/>
    <hyperlink ref="D103" r:id="rId102" xr:uid="{42A28109-5401-44A2-BDC4-FE15EA570022}"/>
    <hyperlink ref="D104" r:id="rId103" xr:uid="{329DF98B-2C13-4499-B4A0-49687B7FFA41}"/>
    <hyperlink ref="D105" r:id="rId104" xr:uid="{C5112403-4627-4057-A2D5-742C6AA9E2D8}"/>
    <hyperlink ref="D106" r:id="rId105" xr:uid="{CF48A347-18EE-4DDE-96BE-AF83E8DE9C13}"/>
    <hyperlink ref="D107" r:id="rId106" xr:uid="{A74C8CD6-1CB6-4DC0-9E34-97A20BE66D0C}"/>
    <hyperlink ref="D108" r:id="rId107" xr:uid="{31624DE8-A3D7-422E-A56B-91A0EB998B01}"/>
    <hyperlink ref="D109" r:id="rId108" xr:uid="{E2A4C8BF-FCBA-4152-A1B0-8D078B3B78E8}"/>
    <hyperlink ref="D110" r:id="rId109" xr:uid="{E0138905-1D51-4008-95F1-ABCCECF4C29F}"/>
    <hyperlink ref="D111" r:id="rId110" xr:uid="{703E8F22-2633-4676-9C72-600D7DE32CF5}"/>
    <hyperlink ref="D112" r:id="rId111" xr:uid="{90922A5F-8261-405C-9715-E68A0F15E52D}"/>
    <hyperlink ref="D113" r:id="rId112" xr:uid="{EB80FF07-A33D-450C-9831-0E9E1E2C3CE6}"/>
    <hyperlink ref="D114" r:id="rId113" xr:uid="{1CE237D3-F6C8-488A-8B5B-5588F4D4AC74}"/>
    <hyperlink ref="D115" r:id="rId114" xr:uid="{9EE26EAA-4F58-4C04-9D61-D1CA62F4D87C}"/>
    <hyperlink ref="D116" r:id="rId115" xr:uid="{C7C8B5AE-3161-4EBD-871B-795A0D0E584E}"/>
    <hyperlink ref="D117" r:id="rId116" xr:uid="{0C6A4BB0-579F-401E-B6FD-15167A4E6D07}"/>
    <hyperlink ref="D118" r:id="rId117" xr:uid="{ECAC339A-10B3-426A-849B-8F11A95ED45E}"/>
    <hyperlink ref="D119" r:id="rId118" xr:uid="{89EB4BF0-29F3-4709-BBA6-5509833228F9}"/>
  </hyperlinks>
  <pageMargins left="0.7" right="0.7" top="0.75" bottom="0.75" header="0.3" footer="0.3"/>
  <tableParts count="1">
    <tablePart r:id="rId1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63C1-19D7-4C5B-A1A5-8AB6346A9846}">
  <dimension ref="A1:G63"/>
  <sheetViews>
    <sheetView workbookViewId="0">
      <selection activeCell="A13" sqref="A13:B13"/>
    </sheetView>
  </sheetViews>
  <sheetFormatPr defaultRowHeight="15" x14ac:dyDescent="0.25"/>
  <cols>
    <col min="1" max="1" width="13.28515625" customWidth="1"/>
    <col min="2" max="2" width="23.42578125" bestFit="1" customWidth="1"/>
    <col min="3" max="3" width="34.140625" bestFit="1" customWidth="1"/>
    <col min="4" max="4" width="40.28515625" bestFit="1" customWidth="1"/>
    <col min="5" max="5" width="43" bestFit="1" customWidth="1"/>
    <col min="6" max="6" width="10.140625" bestFit="1" customWidth="1"/>
    <col min="7" max="7" width="22.28515625" customWidth="1"/>
  </cols>
  <sheetData>
    <row r="1" spans="1:7" x14ac:dyDescent="0.25">
      <c r="A1" s="1" t="s">
        <v>223</v>
      </c>
      <c r="B1" s="1" t="s">
        <v>814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</row>
    <row r="2" spans="1:7" x14ac:dyDescent="0.25">
      <c r="A2" s="1">
        <v>27274354172</v>
      </c>
      <c r="B2" s="1" t="s">
        <v>820</v>
      </c>
      <c r="C2" s="1" t="s">
        <v>259</v>
      </c>
      <c r="D2" s="1" t="s">
        <v>821</v>
      </c>
      <c r="E2" s="1" t="s">
        <v>822</v>
      </c>
      <c r="F2" s="1" t="s">
        <v>823</v>
      </c>
      <c r="G2" s="5">
        <v>34701</v>
      </c>
    </row>
    <row r="3" spans="1:7" x14ac:dyDescent="0.25">
      <c r="A3" s="1">
        <v>19645682168</v>
      </c>
      <c r="B3" s="1" t="s">
        <v>253</v>
      </c>
      <c r="C3" s="1" t="s">
        <v>254</v>
      </c>
      <c r="D3" s="1" t="s">
        <v>824</v>
      </c>
      <c r="E3" s="1" t="s">
        <v>373</v>
      </c>
      <c r="F3" s="1" t="s">
        <v>982</v>
      </c>
      <c r="G3" s="5">
        <v>35100</v>
      </c>
    </row>
    <row r="4" spans="1:7" x14ac:dyDescent="0.25">
      <c r="A4" s="1">
        <v>16499844230</v>
      </c>
      <c r="B4" s="1" t="s">
        <v>258</v>
      </c>
      <c r="C4" s="1" t="s">
        <v>825</v>
      </c>
      <c r="D4" s="1" t="s">
        <v>826</v>
      </c>
      <c r="E4" s="1" t="s">
        <v>827</v>
      </c>
      <c r="F4" s="1" t="s">
        <v>828</v>
      </c>
      <c r="G4" s="5">
        <v>40545</v>
      </c>
    </row>
    <row r="5" spans="1:7" x14ac:dyDescent="0.25">
      <c r="A5" s="1">
        <v>19277490100</v>
      </c>
      <c r="B5" s="1" t="s">
        <v>829</v>
      </c>
      <c r="C5" s="1" t="s">
        <v>830</v>
      </c>
      <c r="D5" s="1" t="s">
        <v>831</v>
      </c>
      <c r="E5" s="1" t="s">
        <v>832</v>
      </c>
      <c r="F5" s="1" t="s">
        <v>833</v>
      </c>
      <c r="G5" s="5">
        <v>35170</v>
      </c>
    </row>
    <row r="6" spans="1:7" x14ac:dyDescent="0.25">
      <c r="A6" s="1">
        <v>25364482644</v>
      </c>
      <c r="B6" s="1" t="s">
        <v>41</v>
      </c>
      <c r="C6" s="1" t="s">
        <v>278</v>
      </c>
      <c r="D6" s="1" t="s">
        <v>834</v>
      </c>
      <c r="E6" s="1" t="s">
        <v>835</v>
      </c>
      <c r="F6" s="1" t="s">
        <v>836</v>
      </c>
      <c r="G6" s="5">
        <v>41562</v>
      </c>
    </row>
    <row r="7" spans="1:7" x14ac:dyDescent="0.25">
      <c r="A7" s="1">
        <v>21521659898</v>
      </c>
      <c r="B7" s="1" t="s">
        <v>288</v>
      </c>
      <c r="C7" s="1" t="s">
        <v>278</v>
      </c>
      <c r="D7" s="1" t="s">
        <v>822</v>
      </c>
      <c r="E7" s="1" t="s">
        <v>837</v>
      </c>
      <c r="F7" s="1" t="s">
        <v>838</v>
      </c>
      <c r="G7" s="5">
        <v>41562</v>
      </c>
    </row>
    <row r="8" spans="1:7" x14ac:dyDescent="0.25">
      <c r="A8" s="1">
        <v>67864076688</v>
      </c>
      <c r="B8" s="1" t="s">
        <v>839</v>
      </c>
      <c r="C8" s="1" t="s">
        <v>278</v>
      </c>
      <c r="D8" s="1" t="s">
        <v>840</v>
      </c>
      <c r="E8" s="1" t="s">
        <v>841</v>
      </c>
      <c r="F8" s="1" t="s">
        <v>842</v>
      </c>
      <c r="G8" s="5">
        <v>37937</v>
      </c>
    </row>
    <row r="9" spans="1:7" x14ac:dyDescent="0.25">
      <c r="A9" s="1">
        <v>20485675074</v>
      </c>
      <c r="B9" s="1" t="s">
        <v>843</v>
      </c>
      <c r="C9" s="1" t="s">
        <v>235</v>
      </c>
      <c r="D9" s="1" t="s">
        <v>844</v>
      </c>
      <c r="E9" s="1" t="s">
        <v>845</v>
      </c>
      <c r="F9" s="1" t="s">
        <v>846</v>
      </c>
      <c r="G9" s="5">
        <v>40910</v>
      </c>
    </row>
    <row r="10" spans="1:7" x14ac:dyDescent="0.25">
      <c r="A10" s="1">
        <v>18163287602</v>
      </c>
      <c r="B10" s="1" t="s">
        <v>57</v>
      </c>
      <c r="C10" s="1" t="s">
        <v>334</v>
      </c>
      <c r="D10" s="1" t="s">
        <v>845</v>
      </c>
      <c r="E10" s="1" t="s">
        <v>847</v>
      </c>
      <c r="F10" s="1" t="s">
        <v>848</v>
      </c>
      <c r="G10" s="5">
        <v>44075</v>
      </c>
    </row>
    <row r="11" spans="1:7" x14ac:dyDescent="0.25">
      <c r="A11" s="1">
        <v>13352305068</v>
      </c>
      <c r="B11" s="1" t="s">
        <v>349</v>
      </c>
      <c r="C11" s="1" t="s">
        <v>259</v>
      </c>
      <c r="D11" s="1" t="s">
        <v>845</v>
      </c>
      <c r="E11" s="1" t="s">
        <v>849</v>
      </c>
      <c r="F11" s="1" t="s">
        <v>850</v>
      </c>
      <c r="G11" s="5">
        <v>44760</v>
      </c>
    </row>
    <row r="12" spans="1:7" x14ac:dyDescent="0.25">
      <c r="A12" s="1">
        <v>13117894240</v>
      </c>
      <c r="B12" s="1" t="s">
        <v>63</v>
      </c>
      <c r="C12" s="1" t="s">
        <v>35</v>
      </c>
      <c r="D12" s="1" t="s">
        <v>851</v>
      </c>
      <c r="E12" s="1" t="s">
        <v>852</v>
      </c>
      <c r="F12" s="1" t="s">
        <v>853</v>
      </c>
      <c r="G12" s="5">
        <v>44789</v>
      </c>
    </row>
    <row r="13" spans="1:7" x14ac:dyDescent="0.25">
      <c r="A13" s="1">
        <v>60142116854</v>
      </c>
      <c r="B13" s="1" t="s">
        <v>369</v>
      </c>
      <c r="C13" s="1" t="s">
        <v>235</v>
      </c>
      <c r="D13" s="1" t="s">
        <v>232</v>
      </c>
      <c r="E13" s="1" t="s">
        <v>854</v>
      </c>
      <c r="F13" s="1" t="s">
        <v>855</v>
      </c>
      <c r="G13" s="5">
        <v>35745</v>
      </c>
    </row>
    <row r="14" spans="1:7" x14ac:dyDescent="0.25">
      <c r="A14" s="1">
        <v>20707846060</v>
      </c>
      <c r="B14" s="1" t="s">
        <v>856</v>
      </c>
      <c r="C14" s="1" t="s">
        <v>289</v>
      </c>
      <c r="D14" s="1" t="s">
        <v>826</v>
      </c>
      <c r="E14" s="1" t="s">
        <v>373</v>
      </c>
      <c r="F14" s="1" t="s">
        <v>857</v>
      </c>
      <c r="G14" s="5">
        <v>41562</v>
      </c>
    </row>
    <row r="15" spans="1:7" x14ac:dyDescent="0.25">
      <c r="A15" s="1">
        <v>30679636910</v>
      </c>
      <c r="B15" s="1" t="s">
        <v>858</v>
      </c>
      <c r="C15" s="1" t="s">
        <v>859</v>
      </c>
      <c r="D15" s="1" t="s">
        <v>860</v>
      </c>
      <c r="E15" s="1" t="s">
        <v>861</v>
      </c>
      <c r="F15" s="1" t="s">
        <v>862</v>
      </c>
      <c r="G15" s="5">
        <v>40910</v>
      </c>
    </row>
    <row r="16" spans="1:7" x14ac:dyDescent="0.25">
      <c r="A16" s="1">
        <v>33955916348</v>
      </c>
      <c r="B16" s="1" t="s">
        <v>68</v>
      </c>
      <c r="C16" s="1" t="s">
        <v>259</v>
      </c>
      <c r="D16" s="1" t="s">
        <v>863</v>
      </c>
      <c r="E16" s="1" t="s">
        <v>845</v>
      </c>
      <c r="F16" s="1" t="s">
        <v>864</v>
      </c>
      <c r="G16" s="5">
        <v>40910</v>
      </c>
    </row>
    <row r="17" spans="1:7" x14ac:dyDescent="0.25">
      <c r="A17" s="1">
        <v>59701516396</v>
      </c>
      <c r="B17" s="1" t="s">
        <v>70</v>
      </c>
      <c r="C17" s="1" t="s">
        <v>278</v>
      </c>
      <c r="D17" s="1" t="s">
        <v>822</v>
      </c>
      <c r="E17" s="1" t="s">
        <v>845</v>
      </c>
      <c r="F17" s="1" t="s">
        <v>865</v>
      </c>
      <c r="G17" s="5">
        <v>40910</v>
      </c>
    </row>
    <row r="18" spans="1:7" x14ac:dyDescent="0.25">
      <c r="A18" s="1">
        <v>28762644492</v>
      </c>
      <c r="B18" s="1" t="s">
        <v>866</v>
      </c>
      <c r="C18" s="1" t="s">
        <v>278</v>
      </c>
      <c r="D18" s="1" t="s">
        <v>867</v>
      </c>
      <c r="E18" s="1" t="s">
        <v>868</v>
      </c>
      <c r="F18" s="1" t="s">
        <v>869</v>
      </c>
      <c r="G18" s="5">
        <v>40914</v>
      </c>
    </row>
    <row r="19" spans="1:7" x14ac:dyDescent="0.25">
      <c r="A19" s="1">
        <v>28762644492</v>
      </c>
      <c r="B19" s="1" t="s">
        <v>866</v>
      </c>
      <c r="C19" s="1" t="s">
        <v>278</v>
      </c>
      <c r="D19" s="1" t="s">
        <v>867</v>
      </c>
      <c r="E19" s="1" t="s">
        <v>868</v>
      </c>
      <c r="F19" s="1" t="s">
        <v>869</v>
      </c>
      <c r="G19" s="5">
        <v>40911</v>
      </c>
    </row>
    <row r="20" spans="1:7" x14ac:dyDescent="0.25">
      <c r="A20" s="1">
        <v>31388172744</v>
      </c>
      <c r="B20" s="1" t="s">
        <v>83</v>
      </c>
      <c r="C20" s="1" t="s">
        <v>409</v>
      </c>
      <c r="D20" s="1" t="s">
        <v>837</v>
      </c>
      <c r="E20" s="1" t="s">
        <v>870</v>
      </c>
      <c r="F20" s="1" t="s">
        <v>871</v>
      </c>
      <c r="G20" s="5">
        <v>44760</v>
      </c>
    </row>
    <row r="21" spans="1:7" x14ac:dyDescent="0.25">
      <c r="A21" s="1">
        <v>20564739512</v>
      </c>
      <c r="B21" s="1" t="s">
        <v>87</v>
      </c>
      <c r="C21" s="1" t="s">
        <v>235</v>
      </c>
      <c r="D21" s="1" t="s">
        <v>872</v>
      </c>
      <c r="E21" s="1" t="s">
        <v>873</v>
      </c>
      <c r="F21" s="1" t="s">
        <v>874</v>
      </c>
      <c r="G21" s="5">
        <v>41001</v>
      </c>
    </row>
    <row r="22" spans="1:7" x14ac:dyDescent="0.25">
      <c r="A22" s="1">
        <v>20564739512</v>
      </c>
      <c r="B22" s="1" t="s">
        <v>87</v>
      </c>
      <c r="C22" s="1" t="s">
        <v>235</v>
      </c>
      <c r="D22" s="1" t="s">
        <v>872</v>
      </c>
      <c r="E22" s="1" t="s">
        <v>875</v>
      </c>
      <c r="F22" s="1" t="s">
        <v>874</v>
      </c>
      <c r="G22" s="5">
        <v>41562</v>
      </c>
    </row>
    <row r="23" spans="1:7" x14ac:dyDescent="0.25">
      <c r="A23" s="1">
        <v>27422435302</v>
      </c>
      <c r="B23" s="1" t="s">
        <v>876</v>
      </c>
      <c r="C23" s="1" t="s">
        <v>289</v>
      </c>
      <c r="D23" s="1" t="s">
        <v>837</v>
      </c>
      <c r="E23" s="1" t="s">
        <v>877</v>
      </c>
      <c r="F23" s="1" t="s">
        <v>878</v>
      </c>
      <c r="G23" s="5">
        <v>33870</v>
      </c>
    </row>
    <row r="24" spans="1:7" x14ac:dyDescent="0.25">
      <c r="A24" s="1">
        <v>24613311988</v>
      </c>
      <c r="B24" s="1" t="s">
        <v>90</v>
      </c>
      <c r="C24" s="1" t="s">
        <v>334</v>
      </c>
      <c r="D24" s="1" t="s">
        <v>845</v>
      </c>
      <c r="E24" s="1" t="s">
        <v>854</v>
      </c>
      <c r="F24" s="1" t="s">
        <v>879</v>
      </c>
      <c r="G24" s="5">
        <v>44060</v>
      </c>
    </row>
    <row r="25" spans="1:7" x14ac:dyDescent="0.25">
      <c r="A25" s="1">
        <v>45238830586</v>
      </c>
      <c r="B25" s="1" t="s">
        <v>880</v>
      </c>
      <c r="C25" s="1" t="s">
        <v>58</v>
      </c>
      <c r="D25" s="1" t="s">
        <v>881</v>
      </c>
      <c r="E25" s="1" t="s">
        <v>847</v>
      </c>
      <c r="F25" s="1" t="s">
        <v>882</v>
      </c>
      <c r="G25" s="5">
        <v>41562</v>
      </c>
    </row>
    <row r="26" spans="1:7" x14ac:dyDescent="0.25">
      <c r="A26" s="1">
        <v>54415383272</v>
      </c>
      <c r="B26" s="1" t="s">
        <v>93</v>
      </c>
      <c r="C26" s="1" t="s">
        <v>883</v>
      </c>
      <c r="D26" s="1" t="s">
        <v>884</v>
      </c>
      <c r="E26" s="1" t="s">
        <v>885</v>
      </c>
      <c r="F26" s="1" t="s">
        <v>886</v>
      </c>
      <c r="G26" s="5">
        <v>41001</v>
      </c>
    </row>
    <row r="27" spans="1:7" x14ac:dyDescent="0.25">
      <c r="A27" s="1">
        <v>50830192468</v>
      </c>
      <c r="B27" s="1" t="s">
        <v>458</v>
      </c>
      <c r="C27" s="1" t="s">
        <v>259</v>
      </c>
      <c r="D27" s="1" t="s">
        <v>887</v>
      </c>
      <c r="E27" s="1" t="s">
        <v>854</v>
      </c>
      <c r="F27" s="1" t="s">
        <v>888</v>
      </c>
      <c r="G27" s="5">
        <v>41001</v>
      </c>
    </row>
    <row r="28" spans="1:7" x14ac:dyDescent="0.25">
      <c r="A28" s="1">
        <v>39511597594</v>
      </c>
      <c r="B28" s="1" t="s">
        <v>470</v>
      </c>
      <c r="C28" s="1" t="s">
        <v>889</v>
      </c>
      <c r="D28" s="1" t="s">
        <v>890</v>
      </c>
      <c r="E28" s="1" t="s">
        <v>891</v>
      </c>
      <c r="F28" s="1" t="s">
        <v>892</v>
      </c>
      <c r="G28" s="5">
        <v>41562</v>
      </c>
    </row>
    <row r="29" spans="1:7" x14ac:dyDescent="0.25">
      <c r="A29" s="1">
        <v>19093830272</v>
      </c>
      <c r="B29" s="1" t="s">
        <v>893</v>
      </c>
      <c r="C29" s="1" t="s">
        <v>894</v>
      </c>
      <c r="D29" s="1" t="s">
        <v>867</v>
      </c>
      <c r="E29" s="1" t="s">
        <v>658</v>
      </c>
      <c r="F29" s="1" t="s">
        <v>895</v>
      </c>
      <c r="G29" s="5">
        <v>44713</v>
      </c>
    </row>
    <row r="30" spans="1:7" x14ac:dyDescent="0.25">
      <c r="A30" s="1">
        <v>11113132182</v>
      </c>
      <c r="B30" s="1" t="s">
        <v>896</v>
      </c>
      <c r="C30" s="1" t="s">
        <v>235</v>
      </c>
      <c r="D30" s="1" t="s">
        <v>845</v>
      </c>
      <c r="E30" s="1" t="s">
        <v>868</v>
      </c>
      <c r="F30" s="1" t="s">
        <v>897</v>
      </c>
      <c r="G30" s="5">
        <v>36117</v>
      </c>
    </row>
    <row r="31" spans="1:7" x14ac:dyDescent="0.25">
      <c r="A31" s="1">
        <v>12056674562</v>
      </c>
      <c r="B31" s="1" t="s">
        <v>112</v>
      </c>
      <c r="C31" s="1" t="s">
        <v>898</v>
      </c>
      <c r="D31" s="1" t="s">
        <v>845</v>
      </c>
      <c r="E31" s="1" t="s">
        <v>899</v>
      </c>
      <c r="F31" s="1" t="s">
        <v>900</v>
      </c>
      <c r="G31" s="5">
        <v>40910</v>
      </c>
    </row>
    <row r="32" spans="1:7" x14ac:dyDescent="0.25">
      <c r="A32" s="1">
        <v>33242241696</v>
      </c>
      <c r="B32" s="1" t="s">
        <v>500</v>
      </c>
      <c r="C32" s="1" t="s">
        <v>408</v>
      </c>
      <c r="D32" s="1" t="s">
        <v>845</v>
      </c>
      <c r="E32" s="1" t="s">
        <v>849</v>
      </c>
      <c r="F32" s="1" t="s">
        <v>901</v>
      </c>
      <c r="G32" s="5">
        <v>44244</v>
      </c>
    </row>
    <row r="33" spans="1:7" x14ac:dyDescent="0.25">
      <c r="A33" s="1">
        <v>15095653802</v>
      </c>
      <c r="B33" s="1" t="s">
        <v>506</v>
      </c>
      <c r="C33" s="1" t="s">
        <v>289</v>
      </c>
      <c r="D33" s="1" t="s">
        <v>837</v>
      </c>
      <c r="E33" s="1" t="s">
        <v>837</v>
      </c>
      <c r="F33" s="1" t="s">
        <v>902</v>
      </c>
      <c r="G33" s="5">
        <v>40739</v>
      </c>
    </row>
    <row r="34" spans="1:7" x14ac:dyDescent="0.25">
      <c r="A34" s="1">
        <v>12106428138</v>
      </c>
      <c r="B34" s="1" t="s">
        <v>510</v>
      </c>
      <c r="C34" s="1" t="s">
        <v>345</v>
      </c>
      <c r="D34" s="1" t="s">
        <v>837</v>
      </c>
      <c r="E34" s="1" t="s">
        <v>903</v>
      </c>
      <c r="F34" s="1" t="s">
        <v>904</v>
      </c>
      <c r="G34" s="5">
        <v>44249</v>
      </c>
    </row>
    <row r="35" spans="1:7" x14ac:dyDescent="0.25">
      <c r="A35" s="1">
        <v>11828330422</v>
      </c>
      <c r="B35" s="1" t="s">
        <v>119</v>
      </c>
      <c r="C35" s="1" t="s">
        <v>905</v>
      </c>
      <c r="D35" s="1" t="s">
        <v>906</v>
      </c>
      <c r="E35" s="1" t="s">
        <v>907</v>
      </c>
      <c r="F35" s="1" t="s">
        <v>908</v>
      </c>
      <c r="G35" s="5">
        <v>34297</v>
      </c>
    </row>
    <row r="36" spans="1:7" x14ac:dyDescent="0.25">
      <c r="A36" s="1">
        <v>21433852424</v>
      </c>
      <c r="B36" s="1" t="s">
        <v>519</v>
      </c>
      <c r="C36" s="1" t="s">
        <v>520</v>
      </c>
      <c r="D36" s="1" t="s">
        <v>909</v>
      </c>
      <c r="E36" s="1" t="s">
        <v>910</v>
      </c>
      <c r="F36" s="1" t="s">
        <v>911</v>
      </c>
      <c r="G36" s="5">
        <v>35735</v>
      </c>
    </row>
    <row r="37" spans="1:7" x14ac:dyDescent="0.25">
      <c r="A37" s="1">
        <v>21433852424</v>
      </c>
      <c r="B37" s="1" t="s">
        <v>519</v>
      </c>
      <c r="C37" s="1" t="s">
        <v>520</v>
      </c>
      <c r="D37" s="1" t="s">
        <v>912</v>
      </c>
      <c r="E37" s="1" t="s">
        <v>913</v>
      </c>
      <c r="F37" s="1" t="s">
        <v>911</v>
      </c>
      <c r="G37" s="5">
        <v>35749</v>
      </c>
    </row>
    <row r="38" spans="1:7" x14ac:dyDescent="0.25">
      <c r="A38" s="1">
        <v>15311539446</v>
      </c>
      <c r="B38" s="1" t="s">
        <v>914</v>
      </c>
      <c r="C38" s="1" t="s">
        <v>278</v>
      </c>
      <c r="D38" s="1" t="s">
        <v>912</v>
      </c>
      <c r="E38" s="1" t="s">
        <v>868</v>
      </c>
      <c r="F38" s="1" t="s">
        <v>915</v>
      </c>
      <c r="G38" s="5">
        <v>36143</v>
      </c>
    </row>
    <row r="39" spans="1:7" x14ac:dyDescent="0.25">
      <c r="A39" s="1">
        <v>22121568030</v>
      </c>
      <c r="B39" s="1" t="s">
        <v>916</v>
      </c>
      <c r="C39" s="1" t="s">
        <v>345</v>
      </c>
      <c r="D39" s="1" t="s">
        <v>822</v>
      </c>
      <c r="E39" s="1" t="s">
        <v>845</v>
      </c>
      <c r="F39" s="1" t="s">
        <v>917</v>
      </c>
      <c r="G39" s="5">
        <v>41562</v>
      </c>
    </row>
    <row r="40" spans="1:7" x14ac:dyDescent="0.25">
      <c r="A40" s="1">
        <v>10284016888</v>
      </c>
      <c r="B40" s="1" t="s">
        <v>537</v>
      </c>
      <c r="C40" s="1" t="s">
        <v>259</v>
      </c>
      <c r="D40" s="1" t="s">
        <v>837</v>
      </c>
      <c r="E40" s="1" t="s">
        <v>918</v>
      </c>
      <c r="F40" s="1" t="s">
        <v>919</v>
      </c>
      <c r="G40" s="5">
        <v>44866</v>
      </c>
    </row>
    <row r="41" spans="1:7" x14ac:dyDescent="0.25">
      <c r="A41" s="1">
        <v>19640207694</v>
      </c>
      <c r="B41" s="1" t="s">
        <v>920</v>
      </c>
      <c r="C41" s="1" t="s">
        <v>35</v>
      </c>
      <c r="D41" s="1" t="s">
        <v>921</v>
      </c>
      <c r="E41" s="1" t="s">
        <v>922</v>
      </c>
      <c r="F41" s="1" t="s">
        <v>923</v>
      </c>
      <c r="G41" s="5">
        <v>41593</v>
      </c>
    </row>
    <row r="42" spans="1:7" x14ac:dyDescent="0.25">
      <c r="A42" s="1">
        <v>19091230050</v>
      </c>
      <c r="B42" s="1" t="s">
        <v>924</v>
      </c>
      <c r="C42" s="1" t="s">
        <v>289</v>
      </c>
      <c r="D42" s="1" t="s">
        <v>887</v>
      </c>
      <c r="E42" s="1" t="s">
        <v>837</v>
      </c>
      <c r="F42" s="1" t="s">
        <v>925</v>
      </c>
      <c r="G42" s="5">
        <v>41001</v>
      </c>
    </row>
    <row r="43" spans="1:7" x14ac:dyDescent="0.25">
      <c r="A43" s="1">
        <v>48055109934</v>
      </c>
      <c r="B43" s="1" t="s">
        <v>926</v>
      </c>
      <c r="C43" s="1" t="s">
        <v>927</v>
      </c>
      <c r="D43" s="1" t="s">
        <v>822</v>
      </c>
      <c r="E43" s="1" t="s">
        <v>837</v>
      </c>
      <c r="F43" s="1" t="s">
        <v>928</v>
      </c>
      <c r="G43" s="5">
        <v>44060</v>
      </c>
    </row>
    <row r="44" spans="1:7" x14ac:dyDescent="0.25">
      <c r="A44" s="1">
        <v>11437413172</v>
      </c>
      <c r="B44" s="1" t="s">
        <v>929</v>
      </c>
      <c r="C44" s="1" t="s">
        <v>255</v>
      </c>
      <c r="D44" s="1" t="s">
        <v>844</v>
      </c>
      <c r="E44" s="1" t="s">
        <v>845</v>
      </c>
      <c r="F44" s="1" t="s">
        <v>930</v>
      </c>
      <c r="G44" s="5">
        <v>40148</v>
      </c>
    </row>
    <row r="45" spans="1:7" x14ac:dyDescent="0.25">
      <c r="A45" s="1">
        <v>49576376782</v>
      </c>
      <c r="B45" s="1" t="s">
        <v>600</v>
      </c>
      <c r="C45" s="1" t="s">
        <v>259</v>
      </c>
      <c r="D45" s="1" t="s">
        <v>931</v>
      </c>
      <c r="E45" s="1" t="s">
        <v>932</v>
      </c>
      <c r="F45" s="1" t="s">
        <v>933</v>
      </c>
      <c r="G45" s="5">
        <v>41562</v>
      </c>
    </row>
    <row r="46" spans="1:7" x14ac:dyDescent="0.25">
      <c r="A46" s="1">
        <v>11050281424</v>
      </c>
      <c r="B46" s="1" t="s">
        <v>934</v>
      </c>
      <c r="C46" s="1" t="s">
        <v>235</v>
      </c>
      <c r="D46" s="1" t="s">
        <v>837</v>
      </c>
      <c r="E46" s="1" t="s">
        <v>935</v>
      </c>
      <c r="F46" s="1" t="s">
        <v>936</v>
      </c>
      <c r="G46" s="5">
        <v>40374</v>
      </c>
    </row>
    <row r="47" spans="1:7" x14ac:dyDescent="0.25">
      <c r="A47" s="1">
        <v>25300814430</v>
      </c>
      <c r="B47" s="1" t="s">
        <v>607</v>
      </c>
      <c r="C47" s="1" t="s">
        <v>409</v>
      </c>
      <c r="D47" s="1" t="s">
        <v>837</v>
      </c>
      <c r="E47" s="1" t="s">
        <v>357</v>
      </c>
      <c r="F47" s="1" t="s">
        <v>937</v>
      </c>
      <c r="G47" s="5">
        <v>44260</v>
      </c>
    </row>
    <row r="48" spans="1:7" x14ac:dyDescent="0.25">
      <c r="A48" s="1">
        <v>25300814430</v>
      </c>
      <c r="B48" s="1" t="s">
        <v>607</v>
      </c>
      <c r="C48" s="1" t="s">
        <v>938</v>
      </c>
      <c r="D48" s="1" t="s">
        <v>837</v>
      </c>
      <c r="E48" s="1" t="s">
        <v>357</v>
      </c>
      <c r="F48" s="1" t="s">
        <v>937</v>
      </c>
      <c r="G48" s="5">
        <v>44249</v>
      </c>
    </row>
    <row r="49" spans="1:7" x14ac:dyDescent="0.25">
      <c r="A49" s="1">
        <v>17930262606</v>
      </c>
      <c r="B49" s="1" t="s">
        <v>617</v>
      </c>
      <c r="C49" s="1" t="s">
        <v>235</v>
      </c>
      <c r="D49" s="1" t="s">
        <v>939</v>
      </c>
      <c r="E49" s="1" t="s">
        <v>940</v>
      </c>
      <c r="F49" s="1" t="s">
        <v>941</v>
      </c>
      <c r="G49" s="5">
        <v>35065</v>
      </c>
    </row>
    <row r="50" spans="1:7" x14ac:dyDescent="0.25">
      <c r="A50" s="1">
        <v>25333965444</v>
      </c>
      <c r="B50" s="1" t="s">
        <v>155</v>
      </c>
      <c r="C50" s="1" t="s">
        <v>942</v>
      </c>
      <c r="D50" s="1" t="s">
        <v>845</v>
      </c>
      <c r="E50" s="1" t="s">
        <v>837</v>
      </c>
      <c r="F50" s="1" t="s">
        <v>943</v>
      </c>
      <c r="G50" s="5">
        <v>40910</v>
      </c>
    </row>
    <row r="51" spans="1:7" x14ac:dyDescent="0.25">
      <c r="A51" s="1">
        <v>43702132068</v>
      </c>
      <c r="B51" s="1" t="s">
        <v>634</v>
      </c>
      <c r="C51" s="1" t="s">
        <v>424</v>
      </c>
      <c r="D51" s="1" t="s">
        <v>944</v>
      </c>
      <c r="E51" s="1" t="s">
        <v>945</v>
      </c>
      <c r="F51" s="1" t="s">
        <v>946</v>
      </c>
      <c r="G51" s="5">
        <v>41001</v>
      </c>
    </row>
    <row r="52" spans="1:7" x14ac:dyDescent="0.25">
      <c r="A52" s="1">
        <v>11086810612</v>
      </c>
      <c r="B52" s="1" t="s">
        <v>947</v>
      </c>
      <c r="C52" s="1" t="s">
        <v>948</v>
      </c>
      <c r="D52" s="1" t="s">
        <v>389</v>
      </c>
      <c r="E52" s="1" t="s">
        <v>949</v>
      </c>
      <c r="F52" s="1" t="s">
        <v>950</v>
      </c>
      <c r="G52" s="5">
        <v>35247</v>
      </c>
    </row>
    <row r="53" spans="1:7" x14ac:dyDescent="0.25">
      <c r="A53" s="1">
        <v>10360622910</v>
      </c>
      <c r="B53" s="1" t="s">
        <v>951</v>
      </c>
      <c r="C53" s="1" t="s">
        <v>344</v>
      </c>
      <c r="D53" s="1" t="s">
        <v>952</v>
      </c>
      <c r="E53" s="1" t="s">
        <v>953</v>
      </c>
      <c r="F53" s="1" t="s">
        <v>954</v>
      </c>
      <c r="G53" s="5">
        <v>35065</v>
      </c>
    </row>
    <row r="54" spans="1:7" x14ac:dyDescent="0.25">
      <c r="A54" s="1">
        <v>32042074596</v>
      </c>
      <c r="B54" s="1" t="s">
        <v>955</v>
      </c>
      <c r="C54" s="1" t="s">
        <v>278</v>
      </c>
      <c r="D54" s="1" t="s">
        <v>956</v>
      </c>
      <c r="E54" s="1" t="s">
        <v>957</v>
      </c>
      <c r="F54" s="1" t="s">
        <v>958</v>
      </c>
      <c r="G54" s="5">
        <v>40910</v>
      </c>
    </row>
    <row r="55" spans="1:7" x14ac:dyDescent="0.25">
      <c r="A55" s="1">
        <v>38447209366</v>
      </c>
      <c r="B55" s="1" t="s">
        <v>691</v>
      </c>
      <c r="C55" s="1" t="s">
        <v>259</v>
      </c>
      <c r="D55" s="1" t="s">
        <v>959</v>
      </c>
      <c r="E55" s="1" t="s">
        <v>960</v>
      </c>
      <c r="F55" s="1" t="s">
        <v>961</v>
      </c>
      <c r="G55" s="5">
        <v>41562</v>
      </c>
    </row>
    <row r="56" spans="1:7" x14ac:dyDescent="0.25">
      <c r="A56" s="1">
        <v>42517767694</v>
      </c>
      <c r="B56" s="1" t="s">
        <v>962</v>
      </c>
      <c r="C56" s="1" t="s">
        <v>894</v>
      </c>
      <c r="D56" s="1" t="s">
        <v>867</v>
      </c>
      <c r="E56" s="1" t="s">
        <v>870</v>
      </c>
      <c r="F56" s="1" t="s">
        <v>963</v>
      </c>
      <c r="G56" s="5">
        <v>44249</v>
      </c>
    </row>
    <row r="57" spans="1:7" x14ac:dyDescent="0.25">
      <c r="A57" s="1">
        <v>58747256396</v>
      </c>
      <c r="B57" s="1" t="s">
        <v>964</v>
      </c>
      <c r="C57" s="1" t="s">
        <v>709</v>
      </c>
      <c r="D57" s="1" t="s">
        <v>845</v>
      </c>
      <c r="E57" s="1" t="s">
        <v>965</v>
      </c>
      <c r="F57" s="1" t="s">
        <v>966</v>
      </c>
      <c r="G57" s="5">
        <v>41562</v>
      </c>
    </row>
    <row r="58" spans="1:7" x14ac:dyDescent="0.25">
      <c r="A58" s="1">
        <v>23338826050</v>
      </c>
      <c r="B58" s="1" t="s">
        <v>967</v>
      </c>
      <c r="C58" s="1" t="s">
        <v>235</v>
      </c>
      <c r="D58" s="1" t="s">
        <v>822</v>
      </c>
      <c r="E58" s="1" t="s">
        <v>968</v>
      </c>
      <c r="F58" s="1" t="s">
        <v>969</v>
      </c>
      <c r="G58" s="5">
        <v>40168</v>
      </c>
    </row>
    <row r="59" spans="1:7" x14ac:dyDescent="0.25">
      <c r="A59" s="1">
        <v>10298421838</v>
      </c>
      <c r="B59" s="1" t="s">
        <v>190</v>
      </c>
      <c r="C59" s="1" t="s">
        <v>970</v>
      </c>
      <c r="D59" s="1" t="s">
        <v>906</v>
      </c>
      <c r="E59" s="1" t="s">
        <v>847</v>
      </c>
      <c r="F59" s="1" t="s">
        <v>971</v>
      </c>
      <c r="G59" s="5">
        <v>44060</v>
      </c>
    </row>
    <row r="60" spans="1:7" x14ac:dyDescent="0.25">
      <c r="A60" s="1">
        <v>28433119304</v>
      </c>
      <c r="B60" s="1" t="s">
        <v>728</v>
      </c>
      <c r="C60" s="1" t="s">
        <v>948</v>
      </c>
      <c r="D60" s="1" t="s">
        <v>837</v>
      </c>
      <c r="E60" s="1" t="s">
        <v>972</v>
      </c>
      <c r="F60" s="1" t="s">
        <v>973</v>
      </c>
      <c r="G60" s="5">
        <v>40148</v>
      </c>
    </row>
    <row r="61" spans="1:7" x14ac:dyDescent="0.25">
      <c r="A61" s="1">
        <v>34882949300</v>
      </c>
      <c r="B61" s="1" t="s">
        <v>974</v>
      </c>
      <c r="C61" s="1" t="s">
        <v>747</v>
      </c>
      <c r="D61" s="1" t="s">
        <v>975</v>
      </c>
      <c r="E61" s="1" t="s">
        <v>976</v>
      </c>
      <c r="F61" s="1" t="s">
        <v>977</v>
      </c>
      <c r="G61" s="5">
        <v>41562</v>
      </c>
    </row>
    <row r="62" spans="1:7" x14ac:dyDescent="0.25">
      <c r="A62" s="1">
        <v>28904183094</v>
      </c>
      <c r="B62" s="1" t="s">
        <v>763</v>
      </c>
      <c r="C62" s="1" t="s">
        <v>35</v>
      </c>
      <c r="D62" s="1" t="s">
        <v>978</v>
      </c>
      <c r="E62" s="1" t="s">
        <v>978</v>
      </c>
      <c r="F62" s="1" t="s">
        <v>979</v>
      </c>
      <c r="G62" s="5">
        <v>40910</v>
      </c>
    </row>
    <row r="63" spans="1:7" x14ac:dyDescent="0.25">
      <c r="A63" s="1">
        <v>21413501298</v>
      </c>
      <c r="B63" s="1" t="s">
        <v>980</v>
      </c>
      <c r="C63" s="1" t="s">
        <v>259</v>
      </c>
      <c r="D63" s="1" t="s">
        <v>845</v>
      </c>
      <c r="E63" s="1" t="s">
        <v>845</v>
      </c>
      <c r="F63" s="1" t="s">
        <v>981</v>
      </c>
      <c r="G63" s="5">
        <v>40168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��1_an1111_1_an1111_11111_an1111_11111_an1111_11111111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��1_an1111_1_an1111_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��1_an1111_1111
</file>

<file path=customXml/item19.xml>��11111111
</file>

<file path=customXml/itemProps1.xml><?xml version="1.0" encoding="utf-8"?>
<ds:datastoreItem xmlns:ds="http://schemas.openxmlformats.org/officeDocument/2006/customXml" ds:itemID="{72B7941F-6D66-46B8-8872-C7F70951BB46}">
  <ds:schemaRefs/>
</ds:datastoreItem>
</file>

<file path=customXml/itemProps2.xml><?xml version="1.0" encoding="utf-8"?>
<ds:datastoreItem xmlns:ds="http://schemas.openxmlformats.org/officeDocument/2006/customXml" ds:itemID="{5D226807-F090-439A-AF25-94D9E1BB1F95}">
  <ds:schemaRefs/>
</ds:datastoreItem>
</file>

<file path=customXml/itemProps3.xml><?xml version="1.0" encoding="utf-8"?>
<ds:datastoreItem xmlns:ds="http://schemas.openxmlformats.org/officeDocument/2006/customXml" ds:itemID="{D3264C0D-650D-4F5F-BE98-025634BF90EE}">
  <ds:schemaRefs/>
</ds:datastoreItem>
</file>

<file path=customXml/itemProps4.xml><?xml version="1.0" encoding="utf-8"?>
<ds:datastoreItem xmlns:ds="http://schemas.openxmlformats.org/officeDocument/2006/customXml" ds:itemID="{BFC3DB73-EC11-429D-A742-F0AAACD0B76C}">
  <ds:schemaRefs/>
</ds:datastoreItem>
</file>

<file path=customXml/itemProps5.xml><?xml version="1.0" encoding="utf-8"?>
<ds:datastoreItem xmlns:ds="http://schemas.openxmlformats.org/officeDocument/2006/customXml" ds:itemID="{A455038B-1FE6-4FDC-BB5B-59A3A978CDE3}">
  <ds:schemaRefs/>
</ds:datastoreItem>
</file>

<file path=customXml/itemProps6.xml><?xml version="1.0" encoding="utf-8"?>
<ds:datastoreItem xmlns:ds="http://schemas.openxmlformats.org/officeDocument/2006/customXml" ds:itemID="{70DDDBE9-9545-4D16-844C-8B6AE6C9E907}">
  <ds:schemaRefs/>
</ds:datastoreItem>
</file>

<file path=customXml/itemProps7.xml><?xml version="1.0" encoding="utf-8"?>
<ds:datastoreItem xmlns:ds="http://schemas.openxmlformats.org/officeDocument/2006/customXml" ds:itemID="{D2DDAC0A-6D88-4A93-B152-8D64BD006DD7}">
  <ds:schemaRefs/>
</ds:datastoreItem>
</file>

<file path=customXml/itemProps8.xml><?xml version="1.0" encoding="utf-8"?>
<ds:datastoreItem xmlns:ds="http://schemas.openxmlformats.org/officeDocument/2006/customXml" ds:itemID="{1830D974-34BF-4D01-92BE-B998DB5661EB}">
  <ds:schemaRefs/>
</ds:datastoreItem>
</file>

<file path=customXml/itemProps9.xml><?xml version="1.0" encoding="utf-8"?>
<ds:datastoreItem xmlns:ds="http://schemas.openxmlformats.org/officeDocument/2006/customXml" ds:itemID="{085B5657-8B26-46A2-A19F-6CF74D70363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BF092169-53BD-4506-984E-CB587A972ADC}">
  <ds:schemaRefs/>
</ds:datastoreItem>
</file>

<file path=customXml/itemProps11.xml><?xml version="1.0" encoding="utf-8"?>
<ds:datastoreItem xmlns:ds="http://schemas.openxmlformats.org/officeDocument/2006/customXml" ds:itemID="{AE055DF4-672A-4CEB-8D9A-BFD39BAC2843}">
  <ds:schemaRefs/>
</ds:datastoreItem>
</file>

<file path=customXml/itemProps12.xml><?xml version="1.0" encoding="utf-8"?>
<ds:datastoreItem xmlns:ds="http://schemas.openxmlformats.org/officeDocument/2006/customXml" ds:itemID="{7963EB0C-59ED-407F-8BC1-BC738E5C416C}">
  <ds:schemaRefs/>
</ds:datastoreItem>
</file>

<file path=customXml/itemProps13.xml><?xml version="1.0" encoding="utf-8"?>
<ds:datastoreItem xmlns:ds="http://schemas.openxmlformats.org/officeDocument/2006/customXml" ds:itemID="{927EF0D7-A948-49A8-84C8-1D79B6E31A85}">
  <ds:schemaRefs/>
</ds:datastoreItem>
</file>

<file path=customXml/itemProps14.xml><?xml version="1.0" encoding="utf-8"?>
<ds:datastoreItem xmlns:ds="http://schemas.openxmlformats.org/officeDocument/2006/customXml" ds:itemID="{CAA9DCFE-8588-4036-AAA7-DCEBD75FC17D}">
  <ds:schemaRefs/>
</ds:datastoreItem>
</file>

<file path=customXml/itemProps15.xml><?xml version="1.0" encoding="utf-8"?>
<ds:datastoreItem xmlns:ds="http://schemas.openxmlformats.org/officeDocument/2006/customXml" ds:itemID="{A9142669-0C9C-4E36-A287-B384D92796F2}">
  <ds:schemaRefs/>
</ds:datastoreItem>
</file>

<file path=customXml/itemProps16.xml><?xml version="1.0" encoding="utf-8"?>
<ds:datastoreItem xmlns:ds="http://schemas.openxmlformats.org/officeDocument/2006/customXml" ds:itemID="{DBE50670-CFCD-4DD1-B0E1-771C43ACC6EC}">
  <ds:schemaRefs/>
</ds:datastoreItem>
</file>

<file path=customXml/itemProps17.xml><?xml version="1.0" encoding="utf-8"?>
<ds:datastoreItem xmlns:ds="http://schemas.openxmlformats.org/officeDocument/2006/customXml" ds:itemID="{7B9E6AF9-3174-4EB5-B96C-807D25065C24}">
  <ds:schemaRefs/>
</ds:datastoreItem>
</file>

<file path=customXml/itemProps18.xml><?xml version="1.0" encoding="utf-8"?>
<ds:datastoreItem xmlns:ds="http://schemas.openxmlformats.org/officeDocument/2006/customXml" ds:itemID="{C944A2A4-D9FF-494D-A477-E4048D8B0AF8}">
  <ds:schemaRefs/>
</ds:datastoreItem>
</file>

<file path=customXml/itemProps19.xml><?xml version="1.0" encoding="utf-8"?>
<ds:datastoreItem xmlns:ds="http://schemas.openxmlformats.org/officeDocument/2006/customXml" ds:itemID="{A593A699-83F5-41E9-BAF6-400C346E9F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Personel</vt:lpstr>
      <vt:lpstr>denem</vt:lpstr>
      <vt:lpstr>denem2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Radyoloji Tekniker</cp:lastModifiedBy>
  <dcterms:created xsi:type="dcterms:W3CDTF">2026-03-18T07:39:07Z</dcterms:created>
  <dcterms:modified xsi:type="dcterms:W3CDTF">2026-03-18T11:39:10Z</dcterms:modified>
</cp:coreProperties>
</file>